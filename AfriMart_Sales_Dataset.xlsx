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UTH\Downloads\"/>
    </mc:Choice>
  </mc:AlternateContent>
  <xr:revisionPtr revIDLastSave="0" documentId="13_ncr:1_{E98F8FFF-BE47-4441-ACF8-A060EED8F988}" xr6:coauthVersionLast="47" xr6:coauthVersionMax="47" xr10:uidLastSave="{00000000-0000-0000-0000-000000000000}"/>
  <bookViews>
    <workbookView xWindow="-120" yWindow="-120" windowWidth="29040" windowHeight="15720" activeTab="2" xr2:uid="{00000000-000D-0000-FFFF-FFFF00000000}"/>
  </bookViews>
  <sheets>
    <sheet name="Pivot Table" sheetId="4" r:id="rId1"/>
    <sheet name="Chart" sheetId="5" r:id="rId2"/>
    <sheet name="DashBoard" sheetId="12" r:id="rId3"/>
    <sheet name="Data" sheetId="1" r:id="rId4"/>
    <sheet name="Note" sheetId="3" r:id="rId5"/>
    <sheet name="New Data" sheetId="2" r:id="rId6"/>
  </sheets>
  <definedNames>
    <definedName name="Slicer_Country">#N/A</definedName>
    <definedName name="Slicer_Years">#N/A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0" i="4" l="1"/>
  <c r="G39" i="4"/>
  <c r="G38" i="4"/>
  <c r="G41" i="4" l="1"/>
</calcChain>
</file>

<file path=xl/sharedStrings.xml><?xml version="1.0" encoding="utf-8"?>
<sst xmlns="http://schemas.openxmlformats.org/spreadsheetml/2006/main" count="2574" uniqueCount="57">
  <si>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</si>
  <si>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</si>
  <si>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</si>
  <si>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</si>
  <si>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</si>
  <si>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</si>
  <si>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</si>
  <si>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</si>
  <si>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</si>
  <si>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</si>
  <si>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</si>
  <si>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</si>
  <si>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</si>
  <si>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</si>
  <si>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</si>
  <si>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</si>
  <si>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</si>
  <si>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</si>
  <si>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</si>
  <si>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</si>
  <si>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</si>
  <si>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</si>
  <si>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</si>
  <si>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</si>
  <si>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Column Labels</t>
  </si>
  <si>
    <t>Grand Total</t>
  </si>
  <si>
    <t>Row Labels</t>
  </si>
  <si>
    <t>Sum of Profit</t>
  </si>
  <si>
    <t>Most Profitable Products</t>
  </si>
  <si>
    <t>Sum of Revenue</t>
  </si>
  <si>
    <t>Revenue By Country</t>
  </si>
  <si>
    <t>Sum of Units Sold</t>
  </si>
  <si>
    <t>Units Sold By Product</t>
  </si>
  <si>
    <t>2024</t>
  </si>
  <si>
    <t>Jan</t>
  </si>
  <si>
    <t>Feb</t>
  </si>
  <si>
    <t>Mar</t>
  </si>
  <si>
    <t>Apr</t>
  </si>
  <si>
    <t>May</t>
  </si>
  <si>
    <t>Jun</t>
  </si>
  <si>
    <t>Jul</t>
  </si>
  <si>
    <t>Aug</t>
  </si>
  <si>
    <t>Sep</t>
  </si>
  <si>
    <t>Oct</t>
  </si>
  <si>
    <t>Nov</t>
  </si>
  <si>
    <t>Dec</t>
  </si>
  <si>
    <t>2025</t>
  </si>
  <si>
    <t>2026</t>
  </si>
  <si>
    <t>Revenue Trend OverTime</t>
  </si>
  <si>
    <t>Profit By Country</t>
  </si>
  <si>
    <t>Revenue By Country and Product</t>
  </si>
  <si>
    <t>Monthly Sales Performance</t>
  </si>
  <si>
    <t>Product By Profit</t>
  </si>
  <si>
    <t>Total Revenue</t>
  </si>
  <si>
    <t>Total Profit</t>
  </si>
  <si>
    <t>Total Unit Sold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</si>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</sst>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6]\ #,##0.00"/>
    <numFmt numFmtId="169" formatCode="[$₦-466]\ #,##0"/>
  </numFmts>
  <fonts count="4" x14ac:knownFonts="1">
    <font>
      <sz val="11"/>
      <color theme="1"/>
      <name val="Tw Cen MT"/>
      <family val="2"/>
      <scheme val="minor"/>
    </font>
    <font>
      <sz val="11"/>
      <name val="Calibri"/>
      <family val="2"/>
    </font>
    <font>
      <b/>
      <sz val="16"/>
      <color theme="1"/>
      <name val="Tw Cen MT"/>
      <family val="2"/>
      <scheme val="minor"/>
    </font>
    <font>
      <sz val="16"/>
      <color theme="1"/>
      <name val="Tw Cen MT"/>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2" fillId="2" borderId="0" xfId="0" applyFont="1" applyFill="1" applyAlignment="1">
      <alignment horizontal="center"/>
    </xf>
    <xf numFmtId="0" fontId="3" fillId="2" borderId="0" xfId="0" applyFont="1" applyFill="1" applyAlignment="1">
      <alignment horizontal="center"/>
    </xf>
    <xf numFmtId="14" fontId="0" fillId="0" borderId="0" xfId="0" applyNumberFormat="1" applyAlignment="1">
      <alignment horizontal="left"/>
    </xf>
    <xf numFmtId="0" fontId="0" fillId="0" borderId="1" xfId="0" applyBorder="1"/>
    <xf numFmtId="0" fontId="0" fillId="3" borderId="0" xfId="0" applyFill="1"/>
    <xf numFmtId="169" fontId="0" fillId="0" borderId="1" xfId="0" applyNumberFormat="1" applyBorder="1"/>
    <xf numFmtId="169" fontId="0" fillId="0" borderId="0" xfId="0" applyNumberFormat="1"/>
  </cellXfs>
  <cellStyles count="1">
    <cellStyle name="Normal" xfId="0" builtinId="0"/>
  </cellStyles>
  <dxfs count="183">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9" formatCode="[$₦-466]\ #,##0"/>
    </dxf>
    <dxf>
      <numFmt numFmtId="169" formatCode="[$₦-466]\ #,##0"/>
    </dxf>
    <dxf>
      <numFmt numFmtId="164" formatCode="[$₦-466]\ #,##0.00"/>
    </dxf>
    <dxf>
      <numFmt numFmtId="169" formatCode="[$₦-466]\ #,##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font>
        <b/>
        <i val="0"/>
        <color theme="0"/>
      </font>
      <fill>
        <patternFill>
          <bgColor theme="3" tint="-0.499984740745262"/>
        </patternFill>
      </fill>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9" formatCode="[$₦-466]\ #,##0"/>
    </dxf>
    <dxf>
      <numFmt numFmtId="169" formatCode="[$₦-466]\ #,##0"/>
    </dxf>
    <dxf>
      <numFmt numFmtId="164" formatCode="[$₦-466]\ #,##0.00"/>
    </dxf>
    <dxf>
      <numFmt numFmtId="164" formatCode="[$₦-466]\ #,##0.00"/>
    </dxf>
    <dxf>
      <numFmt numFmtId="169" formatCode="[$₦-466]\ #,##0"/>
    </dxf>
    <dxf>
      <numFmt numFmtId="169" formatCode="[$₦-466]\ #,##0"/>
    </dxf>
    <dxf>
      <numFmt numFmtId="0" formatCode="General"/>
    </dxf>
    <dxf>
      <numFmt numFmtId="164" formatCode="[$₦-466]\ #,##0.00"/>
    </dxf>
    <dxf>
      <numFmt numFmtId="169" formatCode="[$₦-466]\ #,##0"/>
    </dxf>
    <dxf>
      <numFmt numFmtId="164" formatCode="[$₦-466]\ #,##0.00"/>
    </dxf>
    <dxf>
      <numFmt numFmtId="169" formatCode="[$₦-466]\ #,##0"/>
    </dxf>
    <dxf>
      <numFmt numFmtId="169" formatCode="[$₦-466]\ #,##0"/>
    </dxf>
    <dxf>
      <numFmt numFmtId="164" formatCode="[$₦-466]\ #,##0.00"/>
    </dxf>
    <dxf>
      <numFmt numFmtId="169" formatCode="[$₦-466]\ #,##0"/>
    </dxf>
    <dxf>
      <numFmt numFmtId="169" formatCode="[$₦-466]\ #,##0"/>
    </dxf>
    <dxf>
      <numFmt numFmtId="19" formatCode="m/d/yyyy"/>
    </dxf>
  </dxfs>
  <tableStyles count="1" defaultTableStyle="TableStyleMedium9" defaultPivotStyle="PivotStyleLight16">
    <tableStyle name="Slicer Style 1" pivot="0" table="0" count="2" xr9:uid="{6AA4C98A-2A97-442D-9FF3-07A62850C246}">
      <tableStyleElement type="wholeTable" dxfId="42"/>
    </tableStyle>
  </tableStyles>
  <extLst>
    <ext xmlns:x14="http://schemas.microsoft.com/office/spreadsheetml/2009/9/main" uri="{46F421CA-312F-682f-3DD2-61675219B42D}">
      <x14:dxfs count="2">
        <dxf>
          <fill>
            <patternFill>
              <bgColor rgb="FF00B05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Table'!$E$22:$E$23</c:f>
              <c:strCache>
                <c:ptCount val="1"/>
                <c:pt idx="0">
                  <c:v>Bread (Family Loaf)</c:v>
                </c:pt>
              </c:strCache>
            </c:strRef>
          </c:tx>
          <c:spPr>
            <a:solidFill>
              <a:schemeClr val="accent1"/>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Table'!$E$24:$E$34</c:f>
              <c:numCache>
                <c:formatCode>[$₦-466]\ #,##0.00</c:formatCode>
                <c:ptCount val="10"/>
                <c:pt idx="0">
                  <c:v>13351200</c:v>
                </c:pt>
                <c:pt idx="1">
                  <c:v>24312000</c:v>
                </c:pt>
                <c:pt idx="2">
                  <c:v>12295200</c:v>
                </c:pt>
                <c:pt idx="3">
                  <c:v>21872400</c:v>
                </c:pt>
                <c:pt idx="4">
                  <c:v>14263200</c:v>
                </c:pt>
                <c:pt idx="5">
                  <c:v>14569200</c:v>
                </c:pt>
                <c:pt idx="6">
                  <c:v>8384400</c:v>
                </c:pt>
                <c:pt idx="7">
                  <c:v>15474000</c:v>
                </c:pt>
                <c:pt idx="8">
                  <c:v>19258800</c:v>
                </c:pt>
                <c:pt idx="9">
                  <c:v>11834400</c:v>
                </c:pt>
              </c:numCache>
            </c:numRef>
          </c:val>
          <c:extLst>
            <c:ext xmlns:c16="http://schemas.microsoft.com/office/drawing/2014/chart" uri="{C3380CC4-5D6E-409C-BE32-E72D297353CC}">
              <c16:uniqueId val="{00000000-4BF9-4CD8-88D9-814D18297989}"/>
            </c:ext>
          </c:extLst>
        </c:ser>
        <c:ser>
          <c:idx val="1"/>
          <c:order val="1"/>
          <c:tx>
            <c:strRef>
              <c:f>'Pivot Table'!$F$22:$F$23</c:f>
              <c:strCache>
                <c:ptCount val="1"/>
                <c:pt idx="0">
                  <c:v>Cement (50kg)</c:v>
                </c:pt>
              </c:strCache>
            </c:strRef>
          </c:tx>
          <c:spPr>
            <a:solidFill>
              <a:schemeClr val="accent2"/>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Table'!$F$24:$F$34</c:f>
              <c:numCache>
                <c:formatCode>[$₦-466]\ #,##0.00</c:formatCode>
                <c:ptCount val="10"/>
                <c:pt idx="0">
                  <c:v>60560000</c:v>
                </c:pt>
                <c:pt idx="1">
                  <c:v>71865000</c:v>
                </c:pt>
                <c:pt idx="2">
                  <c:v>68155000</c:v>
                </c:pt>
                <c:pt idx="3">
                  <c:v>53935000</c:v>
                </c:pt>
                <c:pt idx="4">
                  <c:v>109030000</c:v>
                </c:pt>
                <c:pt idx="5">
                  <c:v>77640000</c:v>
                </c:pt>
                <c:pt idx="6">
                  <c:v>85450000</c:v>
                </c:pt>
                <c:pt idx="7">
                  <c:v>69645000</c:v>
                </c:pt>
                <c:pt idx="8">
                  <c:v>59685000</c:v>
                </c:pt>
                <c:pt idx="9">
                  <c:v>43245000</c:v>
                </c:pt>
              </c:numCache>
            </c:numRef>
          </c:val>
          <c:extLst>
            <c:ext xmlns:c16="http://schemas.microsoft.com/office/drawing/2014/chart" uri="{C3380CC4-5D6E-409C-BE32-E72D297353CC}">
              <c16:uniqueId val="{00000001-4BF9-4CD8-88D9-814D18297989}"/>
            </c:ext>
          </c:extLst>
        </c:ser>
        <c:ser>
          <c:idx val="2"/>
          <c:order val="2"/>
          <c:tx>
            <c:strRef>
              <c:f>'Pivot Table'!$G$22:$G$23</c:f>
              <c:strCache>
                <c:ptCount val="1"/>
                <c:pt idx="0">
                  <c:v>Detergent (1kg)</c:v>
                </c:pt>
              </c:strCache>
            </c:strRef>
          </c:tx>
          <c:spPr>
            <a:solidFill>
              <a:schemeClr val="accent3"/>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Table'!$G$24:$G$34</c:f>
              <c:numCache>
                <c:formatCode>[$₦-466]\ #,##0.00</c:formatCode>
                <c:ptCount val="10"/>
                <c:pt idx="0">
                  <c:v>50246000</c:v>
                </c:pt>
                <c:pt idx="1">
                  <c:v>71354500</c:v>
                </c:pt>
                <c:pt idx="2">
                  <c:v>45192000</c:v>
                </c:pt>
                <c:pt idx="3">
                  <c:v>67459000</c:v>
                </c:pt>
                <c:pt idx="4">
                  <c:v>73671500</c:v>
                </c:pt>
                <c:pt idx="5">
                  <c:v>36669500</c:v>
                </c:pt>
                <c:pt idx="6">
                  <c:v>49766500</c:v>
                </c:pt>
                <c:pt idx="7">
                  <c:v>43991500</c:v>
                </c:pt>
                <c:pt idx="8">
                  <c:v>29214500</c:v>
                </c:pt>
                <c:pt idx="9">
                  <c:v>79653000</c:v>
                </c:pt>
              </c:numCache>
            </c:numRef>
          </c:val>
          <c:extLst>
            <c:ext xmlns:c16="http://schemas.microsoft.com/office/drawing/2014/chart" uri="{C3380CC4-5D6E-409C-BE32-E72D297353CC}">
              <c16:uniqueId val="{00000002-4BF9-4CD8-88D9-814D18297989}"/>
            </c:ext>
          </c:extLst>
        </c:ser>
        <c:ser>
          <c:idx val="3"/>
          <c:order val="3"/>
          <c:tx>
            <c:strRef>
              <c:f>'Pivot Table'!$H$22:$H$23</c:f>
              <c:strCache>
                <c:ptCount val="1"/>
                <c:pt idx="0">
                  <c:v>Garri (Cassava Flour)</c:v>
                </c:pt>
              </c:strCache>
            </c:strRef>
          </c:tx>
          <c:spPr>
            <a:solidFill>
              <a:schemeClr val="accent4"/>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Table'!$H$24:$H$34</c:f>
              <c:numCache>
                <c:formatCode>[$₦-466]\ #,##0.00</c:formatCode>
                <c:ptCount val="10"/>
                <c:pt idx="0">
                  <c:v>28514400</c:v>
                </c:pt>
                <c:pt idx="1">
                  <c:v>28027200</c:v>
                </c:pt>
                <c:pt idx="2">
                  <c:v>11035200</c:v>
                </c:pt>
                <c:pt idx="3">
                  <c:v>27420000</c:v>
                </c:pt>
                <c:pt idx="4">
                  <c:v>15583200</c:v>
                </c:pt>
                <c:pt idx="5">
                  <c:v>22833600</c:v>
                </c:pt>
                <c:pt idx="6">
                  <c:v>13814400</c:v>
                </c:pt>
                <c:pt idx="7">
                  <c:v>10402800</c:v>
                </c:pt>
                <c:pt idx="8">
                  <c:v>18895200</c:v>
                </c:pt>
                <c:pt idx="9">
                  <c:v>9904800</c:v>
                </c:pt>
              </c:numCache>
            </c:numRef>
          </c:val>
          <c:extLst>
            <c:ext xmlns:c16="http://schemas.microsoft.com/office/drawing/2014/chart" uri="{C3380CC4-5D6E-409C-BE32-E72D297353CC}">
              <c16:uniqueId val="{00000003-4BF9-4CD8-88D9-814D18297989}"/>
            </c:ext>
          </c:extLst>
        </c:ser>
        <c:ser>
          <c:idx val="4"/>
          <c:order val="4"/>
          <c:tx>
            <c:strRef>
              <c:f>'Pivot Table'!$I$22:$I$23</c:f>
              <c:strCache>
                <c:ptCount val="1"/>
                <c:pt idx="0">
                  <c:v>Mobile Data Bundle</c:v>
                </c:pt>
              </c:strCache>
            </c:strRef>
          </c:tx>
          <c:spPr>
            <a:solidFill>
              <a:schemeClr val="accent5"/>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Table'!$I$24:$I$34</c:f>
              <c:numCache>
                <c:formatCode>[$₦-466]\ #,##0.00</c:formatCode>
                <c:ptCount val="10"/>
                <c:pt idx="0">
                  <c:v>62856000</c:v>
                </c:pt>
                <c:pt idx="1">
                  <c:v>47823000</c:v>
                </c:pt>
                <c:pt idx="2">
                  <c:v>16908000</c:v>
                </c:pt>
                <c:pt idx="3">
                  <c:v>29760000</c:v>
                </c:pt>
                <c:pt idx="4">
                  <c:v>56796000</c:v>
                </c:pt>
                <c:pt idx="5">
                  <c:v>62157000</c:v>
                </c:pt>
                <c:pt idx="6">
                  <c:v>44643000</c:v>
                </c:pt>
                <c:pt idx="7">
                  <c:v>48453000</c:v>
                </c:pt>
                <c:pt idx="8">
                  <c:v>33462000</c:v>
                </c:pt>
                <c:pt idx="9">
                  <c:v>43950000</c:v>
                </c:pt>
              </c:numCache>
            </c:numRef>
          </c:val>
          <c:extLst>
            <c:ext xmlns:c16="http://schemas.microsoft.com/office/drawing/2014/chart" uri="{C3380CC4-5D6E-409C-BE32-E72D297353CC}">
              <c16:uniqueId val="{00000004-4BF9-4CD8-88D9-814D18297989}"/>
            </c:ext>
          </c:extLst>
        </c:ser>
        <c:ser>
          <c:idx val="5"/>
          <c:order val="5"/>
          <c:tx>
            <c:strRef>
              <c:f>'Pivot Table'!$J$22:$J$23</c:f>
              <c:strCache>
                <c:ptCount val="1"/>
                <c:pt idx="0">
                  <c:v>Palm Oil (5L)</c:v>
                </c:pt>
              </c:strCache>
            </c:strRef>
          </c:tx>
          <c:spPr>
            <a:solidFill>
              <a:schemeClr val="accent6"/>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Table'!$J$24:$J$34</c:f>
              <c:numCache>
                <c:formatCode>[$₦-466]\ #,##0.00</c:formatCode>
                <c:ptCount val="10"/>
                <c:pt idx="0">
                  <c:v>260670000</c:v>
                </c:pt>
                <c:pt idx="1">
                  <c:v>164850000</c:v>
                </c:pt>
                <c:pt idx="2">
                  <c:v>282270000</c:v>
                </c:pt>
                <c:pt idx="3">
                  <c:v>267825000</c:v>
                </c:pt>
                <c:pt idx="4">
                  <c:v>213105000</c:v>
                </c:pt>
                <c:pt idx="5">
                  <c:v>278520000</c:v>
                </c:pt>
                <c:pt idx="6">
                  <c:v>217635000</c:v>
                </c:pt>
                <c:pt idx="7">
                  <c:v>209115000</c:v>
                </c:pt>
                <c:pt idx="8">
                  <c:v>220905000</c:v>
                </c:pt>
                <c:pt idx="9">
                  <c:v>152700000</c:v>
                </c:pt>
              </c:numCache>
            </c:numRef>
          </c:val>
          <c:extLst>
            <c:ext xmlns:c16="http://schemas.microsoft.com/office/drawing/2014/chart" uri="{C3380CC4-5D6E-409C-BE32-E72D297353CC}">
              <c16:uniqueId val="{00000005-4BF9-4CD8-88D9-814D18297989}"/>
            </c:ext>
          </c:extLst>
        </c:ser>
        <c:ser>
          <c:idx val="6"/>
          <c:order val="6"/>
          <c:tx>
            <c:strRef>
              <c:f>'Pivot Table'!$K$22:$K$23</c:f>
              <c:strCache>
                <c:ptCount val="1"/>
                <c:pt idx="0">
                  <c:v>Rice (50kg Bag)</c:v>
                </c:pt>
              </c:strCache>
            </c:strRef>
          </c:tx>
          <c:spPr>
            <a:solidFill>
              <a:schemeClr val="accent1">
                <a:lumMod val="60000"/>
              </a:schemeClr>
            </a:solidFill>
            <a:ln>
              <a:noFill/>
            </a:ln>
            <a:effectLst/>
          </c:spPr>
          <c:invertIfNegative val="0"/>
          <c:cat>
            <c:strRef>
              <c:f>'Pivot Table'!$D$24:$D$34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Table'!$K$24:$K$34</c:f>
              <c:numCache>
                <c:formatCode>[$₦-466]\ #,##0.00</c:formatCode>
                <c:ptCount val="10"/>
                <c:pt idx="0">
                  <c:v>685980000</c:v>
                </c:pt>
                <c:pt idx="1">
                  <c:v>463185000</c:v>
                </c:pt>
                <c:pt idx="2">
                  <c:v>534600000</c:v>
                </c:pt>
                <c:pt idx="3">
                  <c:v>676080000</c:v>
                </c:pt>
                <c:pt idx="4">
                  <c:v>1139940000</c:v>
                </c:pt>
                <c:pt idx="5">
                  <c:v>598455000</c:v>
                </c:pt>
                <c:pt idx="6">
                  <c:v>246915000</c:v>
                </c:pt>
                <c:pt idx="7">
                  <c:v>381960000</c:v>
                </c:pt>
                <c:pt idx="8">
                  <c:v>873315000</c:v>
                </c:pt>
                <c:pt idx="9">
                  <c:v>544230000</c:v>
                </c:pt>
              </c:numCache>
            </c:numRef>
          </c:val>
          <c:extLst>
            <c:ext xmlns:c16="http://schemas.microsoft.com/office/drawing/2014/chart" uri="{C3380CC4-5D6E-409C-BE32-E72D297353CC}">
              <c16:uniqueId val="{00000006-4BF9-4CD8-88D9-814D18297989}"/>
            </c:ext>
          </c:extLst>
        </c:ser>
        <c:dLbls>
          <c:showLegendKey val="0"/>
          <c:showVal val="0"/>
          <c:showCatName val="0"/>
          <c:showSerName val="0"/>
          <c:showPercent val="0"/>
          <c:showBubbleSize val="0"/>
        </c:dLbls>
        <c:gapWidth val="150"/>
        <c:overlap val="100"/>
        <c:axId val="197156255"/>
        <c:axId val="1978431407"/>
      </c:barChart>
      <c:catAx>
        <c:axId val="19715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31407"/>
        <c:crosses val="autoZero"/>
        <c:auto val="1"/>
        <c:lblAlgn val="ctr"/>
        <c:lblOffset val="100"/>
        <c:noMultiLvlLbl val="0"/>
      </c:catAx>
      <c:valAx>
        <c:axId val="1978431407"/>
        <c:scaling>
          <c:orientation val="minMax"/>
        </c:scaling>
        <c:delete val="0"/>
        <c:axPos val="l"/>
        <c:majorGridlines>
          <c:spPr>
            <a:ln w="9525" cap="flat" cmpd="sng" algn="ctr">
              <a:solidFill>
                <a:schemeClr val="tx1">
                  <a:lumMod val="15000"/>
                  <a:lumOff val="85000"/>
                </a:schemeClr>
              </a:solidFill>
              <a:round/>
            </a:ln>
            <a:effectLst/>
          </c:spPr>
        </c:majorGridlines>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5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Table'!$A$30:$A$35</c:f>
              <c:strCache>
                <c:ptCount val="5"/>
                <c:pt idx="0">
                  <c:v>Rice (50kg Bag)</c:v>
                </c:pt>
                <c:pt idx="1">
                  <c:v>Palm Oil (5L)</c:v>
                </c:pt>
                <c:pt idx="2">
                  <c:v>Mobile Data Bundle</c:v>
                </c:pt>
                <c:pt idx="3">
                  <c:v>Detergent (1kg)</c:v>
                </c:pt>
                <c:pt idx="4">
                  <c:v>Cement (50kg)</c:v>
                </c:pt>
              </c:strCache>
            </c:strRef>
          </c:cat>
          <c:val>
            <c:numRef>
              <c:f>'Pivot Table'!$B$30:$B$35</c:f>
              <c:numCache>
                <c:formatCode>[$₦-466]\ #,##0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0-34B7-4D0C-B7A8-FAB3ED3E82F5}"/>
            </c:ext>
          </c:extLst>
        </c:ser>
        <c:dLbls>
          <c:showLegendKey val="0"/>
          <c:showVal val="0"/>
          <c:showCatName val="0"/>
          <c:showSerName val="0"/>
          <c:showPercent val="0"/>
          <c:showBubbleSize val="0"/>
        </c:dLbls>
        <c:gapWidth val="182"/>
        <c:axId val="1983284623"/>
        <c:axId val="1983282959"/>
      </c:barChart>
      <c:catAx>
        <c:axId val="198328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82959"/>
        <c:crosses val="autoZero"/>
        <c:auto val="1"/>
        <c:lblAlgn val="ctr"/>
        <c:lblOffset val="100"/>
        <c:noMultiLvlLbl val="0"/>
      </c:catAx>
      <c:valAx>
        <c:axId val="1983282959"/>
        <c:scaling>
          <c:orientation val="minMax"/>
        </c:scaling>
        <c:delete val="0"/>
        <c:axPos val="b"/>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Table!PivotTable3</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Trebuchet MS" panose="020B0603020202020204" pitchFamily="34" charset="0"/>
                <a:ea typeface="+mn-ea"/>
                <a:cs typeface="+mn-cs"/>
              </a:defRPr>
            </a:pPr>
            <a:r>
              <a:rPr lang="en-US" b="1">
                <a:solidFill>
                  <a:schemeClr val="bg1"/>
                </a:solidFill>
                <a:latin typeface="Trebuchet MS" panose="020B0603020202020204" pitchFamily="34" charset="0"/>
              </a:rPr>
              <a:t>Revenue</a:t>
            </a:r>
            <a:r>
              <a:rPr lang="en-US" b="1" baseline="0">
                <a:solidFill>
                  <a:schemeClr val="bg1"/>
                </a:solidFill>
                <a:latin typeface="Trebuchet MS" panose="020B0603020202020204" pitchFamily="34" charset="0"/>
              </a:rPr>
              <a: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ysClr val="window" lastClr="FFFFFF"/>
            </a:solidFill>
            <a:ln>
              <a:noFill/>
            </a:ln>
            <a:effectLst/>
          </c:spPr>
          <c:invertIfNegative val="0"/>
          <c:cat>
            <c:strRef>
              <c:f>'Pivot Table'!$A$16:$A$26</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Table'!$B$16:$B$26</c:f>
              <c:numCache>
                <c:formatCode>[$₦-466]\ #,##0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8279-4D21-946D-EA43CB0D8B40}"/>
            </c:ext>
          </c:extLst>
        </c:ser>
        <c:dLbls>
          <c:showLegendKey val="0"/>
          <c:showVal val="0"/>
          <c:showCatName val="0"/>
          <c:showSerName val="0"/>
          <c:showPercent val="0"/>
          <c:showBubbleSize val="0"/>
        </c:dLbls>
        <c:gapWidth val="70"/>
        <c:overlap val="-27"/>
        <c:axId val="1983280879"/>
        <c:axId val="1983285039"/>
      </c:barChart>
      <c:catAx>
        <c:axId val="198328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983285039"/>
        <c:crosses val="autoZero"/>
        <c:auto val="1"/>
        <c:lblAlgn val="ctr"/>
        <c:lblOffset val="100"/>
        <c:noMultiLvlLbl val="0"/>
      </c:catAx>
      <c:valAx>
        <c:axId val="1983285039"/>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9832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Table!PivotTable2</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Trebuchet MS" panose="020B0603020202020204" pitchFamily="34" charset="0"/>
                <a:ea typeface="+mn-ea"/>
                <a:cs typeface="+mn-cs"/>
              </a:defRPr>
            </a:pPr>
            <a:r>
              <a:rPr lang="en-US" b="1">
                <a:solidFill>
                  <a:schemeClr val="bg1"/>
                </a:solidFill>
                <a:latin typeface="Trebuchet MS" panose="020B0603020202020204" pitchFamily="34" charset="0"/>
              </a:rPr>
              <a:t>Profit</a:t>
            </a:r>
            <a:r>
              <a:rPr lang="en-US" b="1" baseline="0">
                <a:solidFill>
                  <a:schemeClr val="bg1"/>
                </a:solidFill>
                <a:latin typeface="Trebuchet MS" panose="020B0603020202020204" pitchFamily="34" charset="0"/>
              </a:rPr>
              <a:t> By Product</a:t>
            </a:r>
            <a:endParaRPr lang="en-US" b="1">
              <a:solidFill>
                <a:schemeClr val="bg1"/>
              </a:solidFill>
              <a:latin typeface="Trebuchet MS" panose="020B0603020202020204" pitchFamily="34" charset="0"/>
            </a:endParaRPr>
          </a:p>
        </c:rich>
      </c:tx>
      <c:layout>
        <c:manualLayout>
          <c:xMode val="edge"/>
          <c:yMode val="edge"/>
          <c:x val="0.35164252767073684"/>
          <c:y val="3.07692307692307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9270411705751"/>
          <c:y val="0.20125661215424998"/>
          <c:w val="0.66273205771190336"/>
          <c:h val="0.44362891177064406"/>
        </c:manualLayout>
      </c:layout>
      <c:barChart>
        <c:barDir val="bar"/>
        <c:grouping val="clustered"/>
        <c:varyColors val="0"/>
        <c:ser>
          <c:idx val="0"/>
          <c:order val="0"/>
          <c:tx>
            <c:strRef>
              <c:f>'Pivot Table'!$B$3</c:f>
              <c:strCache>
                <c:ptCount val="1"/>
                <c:pt idx="0">
                  <c:v>Total</c:v>
                </c:pt>
              </c:strCache>
            </c:strRef>
          </c:tx>
          <c:spPr>
            <a:solidFill>
              <a:sysClr val="window" lastClr="FFFFFF"/>
            </a:solidFill>
            <a:ln>
              <a:noFill/>
            </a:ln>
            <a:effectLst/>
          </c:spPr>
          <c:invertIfNegative val="0"/>
          <c:cat>
            <c:strRef>
              <c:f>'Pivot Table'!$A$4:$A$11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Table'!$B$4:$B$11</c:f>
              <c:numCache>
                <c:formatCode>[$₦-466]\ #,##0.00</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C9F1-4460-88D0-5E51925BA240}"/>
            </c:ext>
          </c:extLst>
        </c:ser>
        <c:dLbls>
          <c:showLegendKey val="0"/>
          <c:showVal val="0"/>
          <c:showCatName val="0"/>
          <c:showSerName val="0"/>
          <c:showPercent val="0"/>
          <c:showBubbleSize val="0"/>
        </c:dLbls>
        <c:gapWidth val="70"/>
        <c:axId val="1990784415"/>
        <c:axId val="2079648223"/>
      </c:barChart>
      <c:catAx>
        <c:axId val="199078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2079648223"/>
        <c:crosses val="autoZero"/>
        <c:auto val="1"/>
        <c:lblAlgn val="ctr"/>
        <c:lblOffset val="100"/>
        <c:noMultiLvlLbl val="0"/>
      </c:catAx>
      <c:valAx>
        <c:axId val="2079648223"/>
        <c:scaling>
          <c:orientation val="minMax"/>
        </c:scaling>
        <c:delete val="0"/>
        <c:axPos val="b"/>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Trebuchet MS" panose="020B0603020202020204" pitchFamily="34" charset="0"/>
                <a:ea typeface="+mn-ea"/>
                <a:cs typeface="+mn-cs"/>
              </a:defRPr>
            </a:pPr>
            <a:endParaRPr lang="en-US"/>
          </a:p>
        </c:txPr>
        <c:crossAx val="199078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Trebuchet MS" panose="020B0603020202020204" pitchFamily="34" charset="0"/>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accent1">
                <a:shade val="50000"/>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bg1"/>
            </a:solidFill>
            <a:ln>
              <a:solidFill>
                <a:schemeClr val="accent1">
                  <a:shade val="50000"/>
                  <a:alpha val="98000"/>
                </a:schemeClr>
              </a:solidFill>
            </a:ln>
            <a:effectLst/>
          </c:spPr>
          <c:invertIfNegative val="0"/>
          <c:cat>
            <c:strRef>
              <c:f>'Pivot Table'!$D$4:$D$11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Table'!$E$4:$E$11</c:f>
              <c:numCache>
                <c:formatCode>General</c:formatCode>
                <c:ptCount val="7"/>
                <c:pt idx="0">
                  <c:v>129679</c:v>
                </c:pt>
                <c:pt idx="1">
                  <c:v>139842</c:v>
                </c:pt>
                <c:pt idx="2">
                  <c:v>156348</c:v>
                </c:pt>
                <c:pt idx="3">
                  <c:v>155359</c:v>
                </c:pt>
                <c:pt idx="4">
                  <c:v>148936</c:v>
                </c:pt>
                <c:pt idx="5">
                  <c:v>151173</c:v>
                </c:pt>
                <c:pt idx="6">
                  <c:v>136548</c:v>
                </c:pt>
              </c:numCache>
            </c:numRef>
          </c:val>
          <c:extLst>
            <c:ext xmlns:c16="http://schemas.microsoft.com/office/drawing/2014/chart" uri="{C3380CC4-5D6E-409C-BE32-E72D297353CC}">
              <c16:uniqueId val="{00000000-85F2-4622-A4AE-D7FEF49681E3}"/>
            </c:ext>
          </c:extLst>
        </c:ser>
        <c:dLbls>
          <c:showLegendKey val="0"/>
          <c:showVal val="0"/>
          <c:showCatName val="0"/>
          <c:showSerName val="0"/>
          <c:showPercent val="0"/>
          <c:showBubbleSize val="0"/>
        </c:dLbls>
        <c:gapWidth val="70"/>
        <c:axId val="1978501791"/>
        <c:axId val="1978500959"/>
      </c:barChart>
      <c:catAx>
        <c:axId val="197850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978500959"/>
        <c:crosses val="autoZero"/>
        <c:auto val="1"/>
        <c:lblAlgn val="ctr"/>
        <c:lblOffset val="100"/>
        <c:noMultiLvlLbl val="0"/>
      </c:catAx>
      <c:valAx>
        <c:axId val="197850095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97850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Trebuchet MS" panose="020B06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Table!PivotTable5</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Table'!$E$15</c:f>
              <c:strCache>
                <c:ptCount val="1"/>
                <c:pt idx="0">
                  <c:v>Total</c:v>
                </c:pt>
              </c:strCache>
            </c:strRef>
          </c:tx>
          <c:spPr>
            <a:ln w="28575" cap="rnd">
              <a:solidFill>
                <a:schemeClr val="bg1"/>
              </a:solidFill>
              <a:round/>
            </a:ln>
            <a:effectLst/>
          </c:spPr>
          <c:marker>
            <c:symbol val="none"/>
          </c:marker>
          <c:cat>
            <c:strRef>
              <c:f>'Pivot Table'!$D$16:$D$19</c:f>
              <c:strCache>
                <c:ptCount val="3"/>
                <c:pt idx="0">
                  <c:v>2024</c:v>
                </c:pt>
                <c:pt idx="1">
                  <c:v>2025</c:v>
                </c:pt>
                <c:pt idx="2">
                  <c:v>2026</c:v>
                </c:pt>
              </c:strCache>
            </c:strRef>
          </c:cat>
          <c:val>
            <c:numRef>
              <c:f>'Pivot Table'!$E$16:$E$19</c:f>
              <c:numCache>
                <c:formatCode>[$₦-466]\ #,##0</c:formatCode>
                <c:ptCount val="3"/>
                <c:pt idx="0">
                  <c:v>3129927800</c:v>
                </c:pt>
                <c:pt idx="1">
                  <c:v>3847142200</c:v>
                </c:pt>
                <c:pt idx="2">
                  <c:v>3470466600</c:v>
                </c:pt>
              </c:numCache>
            </c:numRef>
          </c:val>
          <c:smooth val="1"/>
          <c:extLst>
            <c:ext xmlns:c16="http://schemas.microsoft.com/office/drawing/2014/chart" uri="{C3380CC4-5D6E-409C-BE32-E72D297353CC}">
              <c16:uniqueId val="{00000000-2B39-4E97-AFD0-7FA311EC66EC}"/>
            </c:ext>
          </c:extLst>
        </c:ser>
        <c:dLbls>
          <c:showLegendKey val="0"/>
          <c:showVal val="0"/>
          <c:showCatName val="0"/>
          <c:showSerName val="0"/>
          <c:showPercent val="0"/>
          <c:showBubbleSize val="0"/>
        </c:dLbls>
        <c:smooth val="0"/>
        <c:axId val="1514027551"/>
        <c:axId val="1508248575"/>
      </c:lineChart>
      <c:catAx>
        <c:axId val="15140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508248575"/>
        <c:crosses val="autoZero"/>
        <c:auto val="1"/>
        <c:lblAlgn val="ctr"/>
        <c:lblOffset val="100"/>
        <c:noMultiLvlLbl val="0"/>
      </c:catAx>
      <c:valAx>
        <c:axId val="1508248575"/>
        <c:scaling>
          <c:orientation val="minMax"/>
        </c:scaling>
        <c:delete val="0"/>
        <c:axPos val="l"/>
        <c:majorGridlines>
          <c:spPr>
            <a:ln w="9525" cap="flat" cmpd="sng" algn="ctr">
              <a:no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rebuchet MS" panose="020B0603020202020204" pitchFamily="34" charset="0"/>
                <a:ea typeface="+mn-ea"/>
                <a:cs typeface="+mn-cs"/>
              </a:defRPr>
            </a:pPr>
            <a:endParaRPr lang="en-US"/>
          </a:p>
        </c:txPr>
        <c:crossAx val="151402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Trebuchet MS" panose="020B06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Table!PivotTable9</c:name>
    <c:fmtId val="4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Sum of Revenue</c:v>
                </c:pt>
              </c:strCache>
            </c:strRef>
          </c:tx>
          <c:spPr>
            <a:solidFill>
              <a:schemeClr val="bg1"/>
            </a:solidFill>
            <a:ln>
              <a:noFill/>
            </a:ln>
            <a:effectLst/>
          </c:spPr>
          <c:invertIfNegative val="0"/>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[$₦-466]\ #,##0.00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C168-4E8E-B235-4D500658314A}"/>
            </c:ext>
          </c:extLst>
        </c:ser>
        <c:dLbls>
          <c:showLegendKey val="0"/>
          <c:showVal val="0"/>
          <c:showCatName val="0"/>
          <c:showSerName val="0"/>
          <c:showPercent val="0"/>
          <c:showBubbleSize val="0"/>
        </c:dLbls>
        <c:gapWidth val="70"/>
        <c:axId val="189414831"/>
        <c:axId val="189413167"/>
      </c:barChart>
      <c:lineChart>
        <c:grouping val="standard"/>
        <c:varyColors val="0"/>
        <c:ser>
          <c:idx val="1"/>
          <c:order val="1"/>
          <c:tx>
            <c:strRef>
              <c:f>'Pivot Table'!$L$3</c:f>
              <c:strCache>
                <c:ptCount val="1"/>
                <c:pt idx="0">
                  <c:v>Sum of Units Sold</c:v>
                </c:pt>
              </c:strCache>
            </c:strRef>
          </c:tx>
          <c:spPr>
            <a:ln w="28575" cap="rnd">
              <a:solidFill>
                <a:schemeClr val="accent6">
                  <a:lumMod val="75000"/>
                </a:schemeClr>
              </a:solidFill>
              <a:round/>
            </a:ln>
            <a:effectLst/>
          </c:spPr>
          <c:marker>
            <c:symbol val="none"/>
          </c:marke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[$₦-466]\ #,##0.00</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1"/>
          <c:extLst>
            <c:ext xmlns:c16="http://schemas.microsoft.com/office/drawing/2014/chart" uri="{C3380CC4-5D6E-409C-BE32-E72D297353CC}">
              <c16:uniqueId val="{00000001-C168-4E8E-B235-4D500658314A}"/>
            </c:ext>
          </c:extLst>
        </c:ser>
        <c:dLbls>
          <c:showLegendKey val="0"/>
          <c:showVal val="0"/>
          <c:showCatName val="0"/>
          <c:showSerName val="0"/>
          <c:showPercent val="0"/>
          <c:showBubbleSize val="0"/>
        </c:dLbls>
        <c:marker val="1"/>
        <c:smooth val="0"/>
        <c:axId val="308232351"/>
        <c:axId val="308233183"/>
      </c:lineChart>
      <c:catAx>
        <c:axId val="18941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89413167"/>
        <c:crosses val="autoZero"/>
        <c:auto val="1"/>
        <c:lblAlgn val="ctr"/>
        <c:lblOffset val="100"/>
        <c:noMultiLvlLbl val="0"/>
      </c:catAx>
      <c:valAx>
        <c:axId val="189413167"/>
        <c:scaling>
          <c:orientation val="minMax"/>
        </c:scaling>
        <c:delete val="0"/>
        <c:axPos val="l"/>
        <c:majorGridlines>
          <c:spPr>
            <a:ln w="9525" cap="flat" cmpd="sng" algn="ctr">
              <a:noFill/>
              <a:round/>
            </a:ln>
            <a:effectLst/>
          </c:spPr>
        </c:majorGridlines>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89414831"/>
        <c:crosses val="autoZero"/>
        <c:crossBetween val="between"/>
      </c:valAx>
      <c:valAx>
        <c:axId val="308233183"/>
        <c:scaling>
          <c:orientation val="minMax"/>
        </c:scaling>
        <c:delete val="0"/>
        <c:axPos val="r"/>
        <c:numFmt formatCode="[$₦-466]\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308232351"/>
        <c:crosses val="max"/>
        <c:crossBetween val="between"/>
      </c:valAx>
      <c:catAx>
        <c:axId val="308232351"/>
        <c:scaling>
          <c:orientation val="minMax"/>
        </c:scaling>
        <c:delete val="1"/>
        <c:axPos val="b"/>
        <c:numFmt formatCode="General" sourceLinked="1"/>
        <c:majorTickMark val="out"/>
        <c:minorTickMark val="none"/>
        <c:tickLblPos val="nextTo"/>
        <c:crossAx val="3082331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Table!PivotTable10</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rebuchet MS" panose="020B0603020202020204" pitchFamily="34" charset="0"/>
              </a:rPr>
              <a:t>Top</a:t>
            </a:r>
            <a:r>
              <a:rPr lang="en-US" b="1" baseline="0">
                <a:latin typeface="Trebuchet MS" panose="020B0603020202020204" pitchFamily="34" charset="0"/>
              </a:rPr>
              <a:t> Five Profitable Products</a:t>
            </a:r>
            <a:endParaRPr lang="en-US" b="1">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8A-4F1E-8058-5C51FC1A16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8A-4F1E-8058-5C51FC1A16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8A-4F1E-8058-5C51FC1A16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8A-4F1E-8058-5C51FC1A16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8A-4F1E-8058-5C51FC1A1651}"/>
              </c:ext>
            </c:extLst>
          </c:dPt>
          <c:cat>
            <c:strRef>
              <c:f>'Pivot Table'!$A$30:$A$35</c:f>
              <c:strCache>
                <c:ptCount val="5"/>
                <c:pt idx="0">
                  <c:v>Rice (50kg Bag)</c:v>
                </c:pt>
                <c:pt idx="1">
                  <c:v>Palm Oil (5L)</c:v>
                </c:pt>
                <c:pt idx="2">
                  <c:v>Mobile Data Bundle</c:v>
                </c:pt>
                <c:pt idx="3">
                  <c:v>Detergent (1kg)</c:v>
                </c:pt>
                <c:pt idx="4">
                  <c:v>Cement (50kg)</c:v>
                </c:pt>
              </c:strCache>
            </c:strRef>
          </c:cat>
          <c:val>
            <c:numRef>
              <c:f>'Pivot Table'!$B$30:$B$35</c:f>
              <c:numCache>
                <c:formatCode>[$₦-466]\ #,##0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A-3F8A-4F1E-8058-5C51FC1A165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1.2762248468941391E-2"/>
          <c:y val="0.83377806940799071"/>
          <c:w val="0.97169772528433951"/>
          <c:h val="0.13844415281423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3.svg"/><Relationship Id="rId21" Type="http://schemas.openxmlformats.org/officeDocument/2006/relationships/chart" Target="../charts/chart5.xml"/><Relationship Id="rId7" Type="http://schemas.openxmlformats.org/officeDocument/2006/relationships/hyperlink" Target="#Data!A1"/><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image" Target="../media/image2.png"/><Relationship Id="rId16" Type="http://schemas.openxmlformats.org/officeDocument/2006/relationships/image" Target="../media/image13.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chart" Target="../charts/chart8.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7.xml"/><Relationship Id="rId10" Type="http://schemas.openxmlformats.org/officeDocument/2006/relationships/hyperlink" Target="#'Pivot Table'!A1"/><Relationship Id="rId19" Type="http://schemas.openxmlformats.org/officeDocument/2006/relationships/chart" Target="../charts/chart3.xml"/><Relationship Id="rId4" Type="http://schemas.openxmlformats.org/officeDocument/2006/relationships/hyperlink" Target="#DashBoard!A1"/><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15</xdr:col>
      <xdr:colOff>0</xdr:colOff>
      <xdr:row>18</xdr:row>
      <xdr:rowOff>0</xdr:rowOff>
    </xdr:from>
    <xdr:to>
      <xdr:col>21</xdr:col>
      <xdr:colOff>457200</xdr:colOff>
      <xdr:row>33</xdr:row>
      <xdr:rowOff>28575</xdr:rowOff>
    </xdr:to>
    <xdr:graphicFrame macro="">
      <xdr:nvGraphicFramePr>
        <xdr:cNvPr id="7" name="Chart 6">
          <a:extLst>
            <a:ext uri="{FF2B5EF4-FFF2-40B4-BE49-F238E27FC236}">
              <a16:creationId xmlns:a16="http://schemas.microsoft.com/office/drawing/2014/main" id="{142A1743-133B-42F0-AFC2-A3CB85CC1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33</xdr:row>
      <xdr:rowOff>0</xdr:rowOff>
    </xdr:from>
    <xdr:to>
      <xdr:col>14</xdr:col>
      <xdr:colOff>457200</xdr:colOff>
      <xdr:row>48</xdr:row>
      <xdr:rowOff>28575</xdr:rowOff>
    </xdr:to>
    <xdr:graphicFrame macro="">
      <xdr:nvGraphicFramePr>
        <xdr:cNvPr id="9" name="Chart 8">
          <a:extLst>
            <a:ext uri="{FF2B5EF4-FFF2-40B4-BE49-F238E27FC236}">
              <a16:creationId xmlns:a16="http://schemas.microsoft.com/office/drawing/2014/main" id="{3E5995B9-6F74-46C0-8CE1-177B1C5FC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104775</xdr:colOff>
      <xdr:row>34</xdr:row>
      <xdr:rowOff>9525</xdr:rowOff>
    </xdr:from>
    <xdr:to>
      <xdr:col>18</xdr:col>
      <xdr:colOff>266700</xdr:colOff>
      <xdr:row>37</xdr:row>
      <xdr:rowOff>85725</xdr:rowOff>
    </xdr:to>
    <xdr:sp macro="" textlink="">
      <xdr:nvSpPr>
        <xdr:cNvPr id="10" name="Rectangle: Rounded Corners 9">
          <a:extLst>
            <a:ext uri="{FF2B5EF4-FFF2-40B4-BE49-F238E27FC236}">
              <a16:creationId xmlns:a16="http://schemas.microsoft.com/office/drawing/2014/main" id="{7880692C-F00F-4588-A233-7BB7E04BA31D}"/>
            </a:ext>
          </a:extLst>
        </xdr:cNvPr>
        <xdr:cNvSpPr/>
      </xdr:nvSpPr>
      <xdr:spPr>
        <a:xfrm>
          <a:off x="11077575" y="6162675"/>
          <a:ext cx="1533525"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lt1"/>
              </a:solidFill>
              <a:effectLst/>
              <a:latin typeface="+mn-lt"/>
              <a:ea typeface="+mn-ea"/>
              <a:cs typeface="+mn-cs"/>
            </a:rPr>
            <a:t>₦10,447,536,600.00</a:t>
          </a:r>
          <a:r>
            <a:rPr lang="en-US"/>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152400</xdr:rowOff>
    </xdr:from>
    <xdr:to>
      <xdr:col>2</xdr:col>
      <xdr:colOff>523875</xdr:colOff>
      <xdr:row>5</xdr:row>
      <xdr:rowOff>0</xdr:rowOff>
    </xdr:to>
    <xdr:sp macro="" textlink="">
      <xdr:nvSpPr>
        <xdr:cNvPr id="2" name="Rectangle: Rounded Corners 1">
          <a:extLst>
            <a:ext uri="{FF2B5EF4-FFF2-40B4-BE49-F238E27FC236}">
              <a16:creationId xmlns:a16="http://schemas.microsoft.com/office/drawing/2014/main" id="{179F4FAF-DFDE-4FCC-BC0A-B6B7A9781418}"/>
            </a:ext>
          </a:extLst>
        </xdr:cNvPr>
        <xdr:cNvSpPr/>
      </xdr:nvSpPr>
      <xdr:spPr>
        <a:xfrm>
          <a:off x="47625" y="152400"/>
          <a:ext cx="1847850" cy="75247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5</xdr:row>
      <xdr:rowOff>38100</xdr:rowOff>
    </xdr:from>
    <xdr:to>
      <xdr:col>2</xdr:col>
      <xdr:colOff>523875</xdr:colOff>
      <xdr:row>39</xdr:row>
      <xdr:rowOff>104775</xdr:rowOff>
    </xdr:to>
    <xdr:sp macro="" textlink="">
      <xdr:nvSpPr>
        <xdr:cNvPr id="3" name="Rectangle: Rounded Corners 2">
          <a:extLst>
            <a:ext uri="{FF2B5EF4-FFF2-40B4-BE49-F238E27FC236}">
              <a16:creationId xmlns:a16="http://schemas.microsoft.com/office/drawing/2014/main" id="{2AE96F13-1301-45C4-8FC6-3AA165BCAE5C}"/>
            </a:ext>
          </a:extLst>
        </xdr:cNvPr>
        <xdr:cNvSpPr/>
      </xdr:nvSpPr>
      <xdr:spPr>
        <a:xfrm>
          <a:off x="47625" y="942975"/>
          <a:ext cx="1847850" cy="621982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0</xdr:row>
      <xdr:rowOff>152400</xdr:rowOff>
    </xdr:from>
    <xdr:to>
      <xdr:col>22</xdr:col>
      <xdr:colOff>66675</xdr:colOff>
      <xdr:row>4</xdr:row>
      <xdr:rowOff>161925</xdr:rowOff>
    </xdr:to>
    <xdr:sp macro="" textlink="">
      <xdr:nvSpPr>
        <xdr:cNvPr id="4" name="Rectangle: Rounded Corners 3">
          <a:extLst>
            <a:ext uri="{FF2B5EF4-FFF2-40B4-BE49-F238E27FC236}">
              <a16:creationId xmlns:a16="http://schemas.microsoft.com/office/drawing/2014/main" id="{6FB1BE56-9656-474F-AAB8-2C9016257341}"/>
            </a:ext>
          </a:extLst>
        </xdr:cNvPr>
        <xdr:cNvSpPr/>
      </xdr:nvSpPr>
      <xdr:spPr>
        <a:xfrm>
          <a:off x="1952625" y="152400"/>
          <a:ext cx="13201650" cy="73342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5</xdr:row>
      <xdr:rowOff>28575</xdr:rowOff>
    </xdr:from>
    <xdr:to>
      <xdr:col>7</xdr:col>
      <xdr:colOff>257175</xdr:colOff>
      <xdr:row>13</xdr:row>
      <xdr:rowOff>133350</xdr:rowOff>
    </xdr:to>
    <xdr:sp macro="" textlink="">
      <xdr:nvSpPr>
        <xdr:cNvPr id="5" name="Rectangle: Rounded Corners 4">
          <a:extLst>
            <a:ext uri="{FF2B5EF4-FFF2-40B4-BE49-F238E27FC236}">
              <a16:creationId xmlns:a16="http://schemas.microsoft.com/office/drawing/2014/main" id="{F1E743AF-7D42-4999-B1D6-9AC4CB6D750A}"/>
            </a:ext>
          </a:extLst>
        </xdr:cNvPr>
        <xdr:cNvSpPr/>
      </xdr:nvSpPr>
      <xdr:spPr>
        <a:xfrm>
          <a:off x="1952625" y="933450"/>
          <a:ext cx="3105150" cy="155257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323850</xdr:colOff>
      <xdr:row>5</xdr:row>
      <xdr:rowOff>28575</xdr:rowOff>
    </xdr:from>
    <xdr:to>
      <xdr:col>11</xdr:col>
      <xdr:colOff>352425</xdr:colOff>
      <xdr:row>13</xdr:row>
      <xdr:rowOff>133350</xdr:rowOff>
    </xdr:to>
    <xdr:sp macro="" textlink="'Pivot Table'!G39">
      <xdr:nvSpPr>
        <xdr:cNvPr id="6" name="Rectangle: Rounded Corners 5">
          <a:extLst>
            <a:ext uri="{FF2B5EF4-FFF2-40B4-BE49-F238E27FC236}">
              <a16:creationId xmlns:a16="http://schemas.microsoft.com/office/drawing/2014/main" id="{C851609D-5203-4437-8DA1-145F65D7231F}"/>
            </a:ext>
          </a:extLst>
        </xdr:cNvPr>
        <xdr:cNvSpPr/>
      </xdr:nvSpPr>
      <xdr:spPr>
        <a:xfrm>
          <a:off x="5124450" y="933450"/>
          <a:ext cx="2771775" cy="155257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ln>
              <a:noFill/>
            </a:ln>
            <a:solidFill>
              <a:schemeClr val="bg1"/>
            </a:solidFill>
          </a:endParaRPr>
        </a:p>
      </xdr:txBody>
    </xdr:sp>
    <xdr:clientData/>
  </xdr:twoCellAnchor>
  <xdr:twoCellAnchor>
    <xdr:from>
      <xdr:col>11</xdr:col>
      <xdr:colOff>419100</xdr:colOff>
      <xdr:row>5</xdr:row>
      <xdr:rowOff>38100</xdr:rowOff>
    </xdr:from>
    <xdr:to>
      <xdr:col>15</xdr:col>
      <xdr:colOff>571499</xdr:colOff>
      <xdr:row>13</xdr:row>
      <xdr:rowOff>142875</xdr:rowOff>
    </xdr:to>
    <xdr:sp macro="" textlink="">
      <xdr:nvSpPr>
        <xdr:cNvPr id="7" name="Rectangle: Rounded Corners 6">
          <a:extLst>
            <a:ext uri="{FF2B5EF4-FFF2-40B4-BE49-F238E27FC236}">
              <a16:creationId xmlns:a16="http://schemas.microsoft.com/office/drawing/2014/main" id="{C2F1C734-CF16-4115-BEA5-E78A2A269AF6}"/>
            </a:ext>
          </a:extLst>
        </xdr:cNvPr>
        <xdr:cNvSpPr/>
      </xdr:nvSpPr>
      <xdr:spPr>
        <a:xfrm>
          <a:off x="7962900" y="942975"/>
          <a:ext cx="2895599" cy="1552575"/>
        </a:xfrm>
        <a:prstGeom prst="roundRect">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590549</xdr:colOff>
      <xdr:row>13</xdr:row>
      <xdr:rowOff>171450</xdr:rowOff>
    </xdr:from>
    <xdr:to>
      <xdr:col>9</xdr:col>
      <xdr:colOff>219074</xdr:colOff>
      <xdr:row>27</xdr:row>
      <xdr:rowOff>123826</xdr:rowOff>
    </xdr:to>
    <xdr:sp macro="" textlink="">
      <xdr:nvSpPr>
        <xdr:cNvPr id="9" name="Rectangle: Rounded Corners 8">
          <a:extLst>
            <a:ext uri="{FF2B5EF4-FFF2-40B4-BE49-F238E27FC236}">
              <a16:creationId xmlns:a16="http://schemas.microsoft.com/office/drawing/2014/main" id="{F4E2FDE7-E1B9-42AB-B561-468AEE219AE4}"/>
            </a:ext>
          </a:extLst>
        </xdr:cNvPr>
        <xdr:cNvSpPr/>
      </xdr:nvSpPr>
      <xdr:spPr>
        <a:xfrm>
          <a:off x="1962149" y="2524125"/>
          <a:ext cx="4429125" cy="2486026"/>
        </a:xfrm>
        <a:prstGeom prst="roundRect">
          <a:avLst>
            <a:gd name="adj" fmla="val 10808"/>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257175</xdr:colOff>
      <xdr:row>14</xdr:row>
      <xdr:rowOff>1</xdr:rowOff>
    </xdr:from>
    <xdr:to>
      <xdr:col>15</xdr:col>
      <xdr:colOff>581025</xdr:colOff>
      <xdr:row>27</xdr:row>
      <xdr:rowOff>142876</xdr:rowOff>
    </xdr:to>
    <xdr:sp macro="" textlink="">
      <xdr:nvSpPr>
        <xdr:cNvPr id="10" name="Rectangle: Rounded Corners 9">
          <a:extLst>
            <a:ext uri="{FF2B5EF4-FFF2-40B4-BE49-F238E27FC236}">
              <a16:creationId xmlns:a16="http://schemas.microsoft.com/office/drawing/2014/main" id="{EC35D094-F381-43D0-AAC3-F9AE0DE26E94}"/>
            </a:ext>
          </a:extLst>
        </xdr:cNvPr>
        <xdr:cNvSpPr/>
      </xdr:nvSpPr>
      <xdr:spPr>
        <a:xfrm>
          <a:off x="6429375" y="2533651"/>
          <a:ext cx="4438650" cy="2495550"/>
        </a:xfrm>
        <a:prstGeom prst="roundRect">
          <a:avLst>
            <a:gd name="adj" fmla="val 9608"/>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rebuchet MS" panose="020B0603020202020204" pitchFamily="34" charset="0"/>
          </a:endParaRPr>
        </a:p>
      </xdr:txBody>
    </xdr:sp>
    <xdr:clientData/>
  </xdr:twoCellAnchor>
  <xdr:twoCellAnchor>
    <xdr:from>
      <xdr:col>15</xdr:col>
      <xdr:colOff>619125</xdr:colOff>
      <xdr:row>5</xdr:row>
      <xdr:rowOff>19051</xdr:rowOff>
    </xdr:from>
    <xdr:to>
      <xdr:col>22</xdr:col>
      <xdr:colOff>114301</xdr:colOff>
      <xdr:row>27</xdr:row>
      <xdr:rowOff>114301</xdr:rowOff>
    </xdr:to>
    <xdr:sp macro="" textlink="">
      <xdr:nvSpPr>
        <xdr:cNvPr id="11" name="Rectangle: Rounded Corners 10">
          <a:extLst>
            <a:ext uri="{FF2B5EF4-FFF2-40B4-BE49-F238E27FC236}">
              <a16:creationId xmlns:a16="http://schemas.microsoft.com/office/drawing/2014/main" id="{681B2283-E058-4950-B223-E6B81E2E8F39}"/>
            </a:ext>
          </a:extLst>
        </xdr:cNvPr>
        <xdr:cNvSpPr/>
      </xdr:nvSpPr>
      <xdr:spPr>
        <a:xfrm>
          <a:off x="10906125" y="923926"/>
          <a:ext cx="4295776" cy="4076700"/>
        </a:xfrm>
        <a:prstGeom prst="roundRect">
          <a:avLst>
            <a:gd name="adj" fmla="val 7088"/>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619125</xdr:colOff>
      <xdr:row>27</xdr:row>
      <xdr:rowOff>161925</xdr:rowOff>
    </xdr:from>
    <xdr:to>
      <xdr:col>9</xdr:col>
      <xdr:colOff>180975</xdr:colOff>
      <xdr:row>39</xdr:row>
      <xdr:rowOff>76201</xdr:rowOff>
    </xdr:to>
    <xdr:sp macro="" textlink="">
      <xdr:nvSpPr>
        <xdr:cNvPr id="12" name="Rectangle: Rounded Corners 11">
          <a:extLst>
            <a:ext uri="{FF2B5EF4-FFF2-40B4-BE49-F238E27FC236}">
              <a16:creationId xmlns:a16="http://schemas.microsoft.com/office/drawing/2014/main" id="{A2ACF82B-46BF-47F0-BB5B-D85C923C3613}"/>
            </a:ext>
          </a:extLst>
        </xdr:cNvPr>
        <xdr:cNvSpPr/>
      </xdr:nvSpPr>
      <xdr:spPr>
        <a:xfrm>
          <a:off x="1990725" y="5048250"/>
          <a:ext cx="4362450" cy="2085976"/>
        </a:xfrm>
        <a:prstGeom prst="roundRect">
          <a:avLst>
            <a:gd name="adj" fmla="val 6945"/>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238124</xdr:colOff>
      <xdr:row>28</xdr:row>
      <xdr:rowOff>9525</xdr:rowOff>
    </xdr:from>
    <xdr:to>
      <xdr:col>15</xdr:col>
      <xdr:colOff>685799</xdr:colOff>
      <xdr:row>39</xdr:row>
      <xdr:rowOff>57150</xdr:rowOff>
    </xdr:to>
    <xdr:sp macro="" textlink="">
      <xdr:nvSpPr>
        <xdr:cNvPr id="13" name="Rectangle: Rounded Corners 12">
          <a:extLst>
            <a:ext uri="{FF2B5EF4-FFF2-40B4-BE49-F238E27FC236}">
              <a16:creationId xmlns:a16="http://schemas.microsoft.com/office/drawing/2014/main" id="{40982AA2-513F-4243-8256-8E801533E19B}"/>
            </a:ext>
          </a:extLst>
        </xdr:cNvPr>
        <xdr:cNvSpPr/>
      </xdr:nvSpPr>
      <xdr:spPr>
        <a:xfrm>
          <a:off x="6410324" y="5076825"/>
          <a:ext cx="4562475" cy="2038350"/>
        </a:xfrm>
        <a:prstGeom prst="roundRect">
          <a:avLst>
            <a:gd name="adj" fmla="val 10125"/>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rebuchet MS" panose="020B0603020202020204" pitchFamily="34" charset="0"/>
          </a:endParaRPr>
        </a:p>
      </xdr:txBody>
    </xdr:sp>
    <xdr:clientData/>
  </xdr:twoCellAnchor>
  <xdr:twoCellAnchor>
    <xdr:from>
      <xdr:col>16</xdr:col>
      <xdr:colOff>47625</xdr:colOff>
      <xdr:row>27</xdr:row>
      <xdr:rowOff>152400</xdr:rowOff>
    </xdr:from>
    <xdr:to>
      <xdr:col>22</xdr:col>
      <xdr:colOff>190501</xdr:colOff>
      <xdr:row>39</xdr:row>
      <xdr:rowOff>38100</xdr:rowOff>
    </xdr:to>
    <xdr:sp macro="" textlink="">
      <xdr:nvSpPr>
        <xdr:cNvPr id="16" name="Rectangle: Rounded Corners 15">
          <a:extLst>
            <a:ext uri="{FF2B5EF4-FFF2-40B4-BE49-F238E27FC236}">
              <a16:creationId xmlns:a16="http://schemas.microsoft.com/office/drawing/2014/main" id="{895D9137-67ED-43B0-A7FE-2C3DB1CD8B36}"/>
            </a:ext>
          </a:extLst>
        </xdr:cNvPr>
        <xdr:cNvSpPr/>
      </xdr:nvSpPr>
      <xdr:spPr>
        <a:xfrm>
          <a:off x="11020425" y="5038725"/>
          <a:ext cx="4257676" cy="2057400"/>
        </a:xfrm>
        <a:prstGeom prst="roundRect">
          <a:avLst>
            <a:gd name="adj" fmla="val 6945"/>
          </a:avLst>
        </a:prstGeom>
        <a:solidFill>
          <a:schemeClr val="tx2">
            <a:lumMod val="5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rebuchet MS" panose="020B0603020202020204" pitchFamily="34" charset="0"/>
          </a:endParaRPr>
        </a:p>
      </xdr:txBody>
    </xdr:sp>
    <xdr:clientData/>
  </xdr:twoCellAnchor>
  <xdr:twoCellAnchor editAs="oneCell">
    <xdr:from>
      <xdr:col>0</xdr:col>
      <xdr:colOff>0</xdr:colOff>
      <xdr:row>0</xdr:row>
      <xdr:rowOff>0</xdr:rowOff>
    </xdr:from>
    <xdr:to>
      <xdr:col>2</xdr:col>
      <xdr:colOff>495300</xdr:colOff>
      <xdr:row>6</xdr:row>
      <xdr:rowOff>0</xdr:rowOff>
    </xdr:to>
    <xdr:pic>
      <xdr:nvPicPr>
        <xdr:cNvPr id="19" name="Picture 18">
          <a:extLst>
            <a:ext uri="{FF2B5EF4-FFF2-40B4-BE49-F238E27FC236}">
              <a16:creationId xmlns:a16="http://schemas.microsoft.com/office/drawing/2014/main" id="{EC32880F-C1B5-425C-B273-7BD3C06314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66900" cy="1085850"/>
        </a:xfrm>
        <a:prstGeom prst="rect">
          <a:avLst/>
        </a:prstGeom>
      </xdr:spPr>
    </xdr:pic>
    <xdr:clientData/>
  </xdr:twoCellAnchor>
  <xdr:twoCellAnchor>
    <xdr:from>
      <xdr:col>3</xdr:col>
      <xdr:colOff>638174</xdr:colOff>
      <xdr:row>0</xdr:row>
      <xdr:rowOff>9525</xdr:rowOff>
    </xdr:from>
    <xdr:to>
      <xdr:col>19</xdr:col>
      <xdr:colOff>419099</xdr:colOff>
      <xdr:row>4</xdr:row>
      <xdr:rowOff>171450</xdr:rowOff>
    </xdr:to>
    <xdr:sp macro="" textlink="">
      <xdr:nvSpPr>
        <xdr:cNvPr id="20" name="TextBox 19">
          <a:extLst>
            <a:ext uri="{FF2B5EF4-FFF2-40B4-BE49-F238E27FC236}">
              <a16:creationId xmlns:a16="http://schemas.microsoft.com/office/drawing/2014/main" id="{D8B0F803-0CC9-45C7-9A24-B5E2A4AC3F0B}"/>
            </a:ext>
          </a:extLst>
        </xdr:cNvPr>
        <xdr:cNvSpPr txBox="1"/>
      </xdr:nvSpPr>
      <xdr:spPr>
        <a:xfrm>
          <a:off x="2695574" y="9525"/>
          <a:ext cx="10753725"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latin typeface="Trebuchet MS" panose="020B0603020202020204" pitchFamily="34" charset="0"/>
            </a:rPr>
            <a:t>AfriMart</a:t>
          </a:r>
          <a:r>
            <a:rPr lang="en-US" sz="5400" b="1" baseline="0">
              <a:solidFill>
                <a:schemeClr val="bg1"/>
              </a:solidFill>
              <a:latin typeface="Trebuchet MS" panose="020B0603020202020204" pitchFamily="34" charset="0"/>
            </a:rPr>
            <a:t> KollyBright DashBoard </a:t>
          </a:r>
          <a:endParaRPr lang="en-US" sz="5400" b="1">
            <a:solidFill>
              <a:schemeClr val="bg1"/>
            </a:solidFill>
            <a:latin typeface="Trebuchet MS" panose="020B0603020202020204" pitchFamily="34" charset="0"/>
          </a:endParaRPr>
        </a:p>
      </xdr:txBody>
    </xdr:sp>
    <xdr:clientData/>
  </xdr:twoCellAnchor>
  <xdr:twoCellAnchor editAs="oneCell">
    <xdr:from>
      <xdr:col>3</xdr:col>
      <xdr:colOff>123825</xdr:colOff>
      <xdr:row>1</xdr:row>
      <xdr:rowOff>9525</xdr:rowOff>
    </xdr:from>
    <xdr:to>
      <xdr:col>4</xdr:col>
      <xdr:colOff>352425</xdr:colOff>
      <xdr:row>4</xdr:row>
      <xdr:rowOff>104775</xdr:rowOff>
    </xdr:to>
    <xdr:pic>
      <xdr:nvPicPr>
        <xdr:cNvPr id="22" name="Graphic 21" descr="Shopping cart with solid fill">
          <a:extLst>
            <a:ext uri="{FF2B5EF4-FFF2-40B4-BE49-F238E27FC236}">
              <a16:creationId xmlns:a16="http://schemas.microsoft.com/office/drawing/2014/main" id="{7CB693AC-E3BA-48C7-A575-6E8B452A59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81225" y="190500"/>
          <a:ext cx="914400" cy="638175"/>
        </a:xfrm>
        <a:prstGeom prst="rect">
          <a:avLst/>
        </a:prstGeom>
      </xdr:spPr>
    </xdr:pic>
    <xdr:clientData/>
  </xdr:twoCellAnchor>
  <xdr:twoCellAnchor editAs="oneCell">
    <xdr:from>
      <xdr:col>0</xdr:col>
      <xdr:colOff>419100</xdr:colOff>
      <xdr:row>5</xdr:row>
      <xdr:rowOff>0</xdr:rowOff>
    </xdr:from>
    <xdr:to>
      <xdr:col>2</xdr:col>
      <xdr:colOff>63975</xdr:colOff>
      <xdr:row>9</xdr:row>
      <xdr:rowOff>47626</xdr:rowOff>
    </xdr:to>
    <xdr:pic>
      <xdr:nvPicPr>
        <xdr:cNvPr id="24" name="Graphic 23" descr="Books on shelf with solid fill">
          <a:hlinkClick xmlns:r="http://schemas.openxmlformats.org/officeDocument/2006/relationships" r:id="rId4"/>
          <a:extLst>
            <a:ext uri="{FF2B5EF4-FFF2-40B4-BE49-F238E27FC236}">
              <a16:creationId xmlns:a16="http://schemas.microsoft.com/office/drawing/2014/main" id="{EF6B90FB-83D1-41A3-852E-5D92D8CB72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19100" y="904875"/>
          <a:ext cx="1016475" cy="771526"/>
        </a:xfrm>
        <a:prstGeom prst="rect">
          <a:avLst/>
        </a:prstGeom>
      </xdr:spPr>
    </xdr:pic>
    <xdr:clientData/>
  </xdr:twoCellAnchor>
  <xdr:twoCellAnchor editAs="oneCell">
    <xdr:from>
      <xdr:col>0</xdr:col>
      <xdr:colOff>457201</xdr:colOff>
      <xdr:row>12</xdr:row>
      <xdr:rowOff>140475</xdr:rowOff>
    </xdr:from>
    <xdr:to>
      <xdr:col>2</xdr:col>
      <xdr:colOff>95251</xdr:colOff>
      <xdr:row>17</xdr:row>
      <xdr:rowOff>1946</xdr:rowOff>
    </xdr:to>
    <xdr:pic>
      <xdr:nvPicPr>
        <xdr:cNvPr id="26" name="Graphic 25" descr="Statistics with solid fill">
          <a:hlinkClick xmlns:r="http://schemas.openxmlformats.org/officeDocument/2006/relationships" r:id="rId7"/>
          <a:extLst>
            <a:ext uri="{FF2B5EF4-FFF2-40B4-BE49-F238E27FC236}">
              <a16:creationId xmlns:a16="http://schemas.microsoft.com/office/drawing/2014/main" id="{CCDBDAE7-A9FA-45F5-9337-1CAB9D195A2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7201" y="2312175"/>
          <a:ext cx="1009650" cy="766346"/>
        </a:xfrm>
        <a:prstGeom prst="rect">
          <a:avLst/>
        </a:prstGeom>
      </xdr:spPr>
    </xdr:pic>
    <xdr:clientData/>
  </xdr:twoCellAnchor>
  <xdr:twoCellAnchor editAs="oneCell">
    <xdr:from>
      <xdr:col>0</xdr:col>
      <xdr:colOff>495300</xdr:colOff>
      <xdr:row>8</xdr:row>
      <xdr:rowOff>141675</xdr:rowOff>
    </xdr:from>
    <xdr:to>
      <xdr:col>2</xdr:col>
      <xdr:colOff>123825</xdr:colOff>
      <xdr:row>12</xdr:row>
      <xdr:rowOff>176891</xdr:rowOff>
    </xdr:to>
    <xdr:pic>
      <xdr:nvPicPr>
        <xdr:cNvPr id="28" name="Graphic 27" descr="Magnifying glass with solid fill">
          <a:hlinkClick xmlns:r="http://schemas.openxmlformats.org/officeDocument/2006/relationships" r:id="rId10"/>
          <a:extLst>
            <a:ext uri="{FF2B5EF4-FFF2-40B4-BE49-F238E27FC236}">
              <a16:creationId xmlns:a16="http://schemas.microsoft.com/office/drawing/2014/main" id="{A374429C-E557-4162-8880-0BD99C535C1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95300" y="1589475"/>
          <a:ext cx="1000125" cy="759116"/>
        </a:xfrm>
        <a:prstGeom prst="rect">
          <a:avLst/>
        </a:prstGeom>
      </xdr:spPr>
    </xdr:pic>
    <xdr:clientData/>
  </xdr:twoCellAnchor>
  <xdr:twoCellAnchor>
    <xdr:from>
      <xdr:col>3</xdr:col>
      <xdr:colOff>238125</xdr:colOff>
      <xdr:row>10</xdr:row>
      <xdr:rowOff>133351</xdr:rowOff>
    </xdr:from>
    <xdr:to>
      <xdr:col>7</xdr:col>
      <xdr:colOff>152400</xdr:colOff>
      <xdr:row>13</xdr:row>
      <xdr:rowOff>47625</xdr:rowOff>
    </xdr:to>
    <xdr:sp macro="" textlink="'Pivot Table'!G38">
      <xdr:nvSpPr>
        <xdr:cNvPr id="29" name="TextBox 28">
          <a:extLst>
            <a:ext uri="{FF2B5EF4-FFF2-40B4-BE49-F238E27FC236}">
              <a16:creationId xmlns:a16="http://schemas.microsoft.com/office/drawing/2014/main" id="{145CC3BF-D619-4D1E-A77C-3621E3BF9BD1}"/>
            </a:ext>
          </a:extLst>
        </xdr:cNvPr>
        <xdr:cNvSpPr txBox="1"/>
      </xdr:nvSpPr>
      <xdr:spPr>
        <a:xfrm>
          <a:off x="2295525" y="1943101"/>
          <a:ext cx="2657475"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F21E2E-249B-41FA-8210-C4B27D9D07AE}" type="TxLink">
            <a:rPr lang="en-US" sz="2000" b="1" i="0" u="none" strike="noStrike">
              <a:solidFill>
                <a:schemeClr val="bg1"/>
              </a:solidFill>
              <a:latin typeface="Trebuchet MS" panose="020B0603020202020204" pitchFamily="34" charset="0"/>
              <a:ea typeface="+mn-ea"/>
              <a:cs typeface="+mn-cs"/>
            </a:rPr>
            <a:pPr marL="0" indent="0"/>
            <a:t>₦ 10,447,536,600</a:t>
          </a:fld>
          <a:endParaRPr lang="en-US" sz="2000" b="1" i="0" u="none" strike="noStrike">
            <a:solidFill>
              <a:schemeClr val="bg1"/>
            </a:solidFill>
            <a:latin typeface="Trebuchet MS" panose="020B0603020202020204" pitchFamily="34" charset="0"/>
            <a:ea typeface="+mn-ea"/>
            <a:cs typeface="+mn-cs"/>
          </a:endParaRPr>
        </a:p>
      </xdr:txBody>
    </xdr:sp>
    <xdr:clientData/>
  </xdr:twoCellAnchor>
  <xdr:twoCellAnchor>
    <xdr:from>
      <xdr:col>5</xdr:col>
      <xdr:colOff>209550</xdr:colOff>
      <xdr:row>6</xdr:row>
      <xdr:rowOff>104775</xdr:rowOff>
    </xdr:from>
    <xdr:to>
      <xdr:col>7</xdr:col>
      <xdr:colOff>200026</xdr:colOff>
      <xdr:row>8</xdr:row>
      <xdr:rowOff>104775</xdr:rowOff>
    </xdr:to>
    <xdr:sp macro="" textlink="">
      <xdr:nvSpPr>
        <xdr:cNvPr id="30" name="TextBox 29">
          <a:extLst>
            <a:ext uri="{FF2B5EF4-FFF2-40B4-BE49-F238E27FC236}">
              <a16:creationId xmlns:a16="http://schemas.microsoft.com/office/drawing/2014/main" id="{5E674F75-F987-4FC4-957C-C08BF44A7222}"/>
            </a:ext>
          </a:extLst>
        </xdr:cNvPr>
        <xdr:cNvSpPr txBox="1"/>
      </xdr:nvSpPr>
      <xdr:spPr>
        <a:xfrm>
          <a:off x="3638550" y="1190625"/>
          <a:ext cx="13620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0B050"/>
              </a:solidFill>
              <a:latin typeface="Trebuchet MS" panose="020B0603020202020204" pitchFamily="34" charset="0"/>
            </a:rPr>
            <a:t>Revenue</a:t>
          </a:r>
        </a:p>
      </xdr:txBody>
    </xdr:sp>
    <xdr:clientData/>
  </xdr:twoCellAnchor>
  <xdr:twoCellAnchor editAs="oneCell">
    <xdr:from>
      <xdr:col>3</xdr:col>
      <xdr:colOff>19050</xdr:colOff>
      <xdr:row>5</xdr:row>
      <xdr:rowOff>76200</xdr:rowOff>
    </xdr:from>
    <xdr:to>
      <xdr:col>4</xdr:col>
      <xdr:colOff>85725</xdr:colOff>
      <xdr:row>9</xdr:row>
      <xdr:rowOff>66675</xdr:rowOff>
    </xdr:to>
    <xdr:pic>
      <xdr:nvPicPr>
        <xdr:cNvPr id="32" name="Graphic 31" descr="Money with solid fill">
          <a:extLst>
            <a:ext uri="{FF2B5EF4-FFF2-40B4-BE49-F238E27FC236}">
              <a16:creationId xmlns:a16="http://schemas.microsoft.com/office/drawing/2014/main" id="{9E869B64-2C2F-4881-B84F-DF4A722110D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076450" y="981075"/>
          <a:ext cx="752475" cy="714375"/>
        </a:xfrm>
        <a:prstGeom prst="rect">
          <a:avLst/>
        </a:prstGeom>
      </xdr:spPr>
    </xdr:pic>
    <xdr:clientData/>
  </xdr:twoCellAnchor>
  <xdr:twoCellAnchor>
    <xdr:from>
      <xdr:col>7</xdr:col>
      <xdr:colOff>676276</xdr:colOff>
      <xdr:row>10</xdr:row>
      <xdr:rowOff>114301</xdr:rowOff>
    </xdr:from>
    <xdr:to>
      <xdr:col>11</xdr:col>
      <xdr:colOff>333376</xdr:colOff>
      <xdr:row>12</xdr:row>
      <xdr:rowOff>104774</xdr:rowOff>
    </xdr:to>
    <xdr:sp macro="" textlink="'Pivot Table'!G39">
      <xdr:nvSpPr>
        <xdr:cNvPr id="33" name="TextBox 32">
          <a:extLst>
            <a:ext uri="{FF2B5EF4-FFF2-40B4-BE49-F238E27FC236}">
              <a16:creationId xmlns:a16="http://schemas.microsoft.com/office/drawing/2014/main" id="{C5EEEA5E-1FA9-4D0B-927B-4EC3D238108B}"/>
            </a:ext>
          </a:extLst>
        </xdr:cNvPr>
        <xdr:cNvSpPr txBox="1"/>
      </xdr:nvSpPr>
      <xdr:spPr>
        <a:xfrm>
          <a:off x="5476876" y="1924051"/>
          <a:ext cx="2400300" cy="352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AE0E22-CE24-4785-9698-A69309045203}" type="TxLink">
            <a:rPr lang="en-US" sz="2000" b="1" i="0" u="none" strike="noStrike">
              <a:solidFill>
                <a:schemeClr val="bg1"/>
              </a:solidFill>
              <a:latin typeface="Trebuchet MS" panose="020B0603020202020204" pitchFamily="34" charset="0"/>
              <a:ea typeface="+mn-ea"/>
              <a:cs typeface="+mn-cs"/>
            </a:rPr>
            <a:pPr marL="0" indent="0"/>
            <a:t>₦ 1,991,838,000</a:t>
          </a:fld>
          <a:endParaRPr lang="en-US" sz="2000" b="1" i="0" u="none" strike="noStrike">
            <a:solidFill>
              <a:schemeClr val="bg1"/>
            </a:solidFill>
            <a:latin typeface="Trebuchet MS" panose="020B0603020202020204" pitchFamily="34" charset="0"/>
            <a:ea typeface="+mn-ea"/>
            <a:cs typeface="+mn-cs"/>
          </a:endParaRPr>
        </a:p>
      </xdr:txBody>
    </xdr:sp>
    <xdr:clientData/>
  </xdr:twoCellAnchor>
  <xdr:twoCellAnchor>
    <xdr:from>
      <xdr:col>9</xdr:col>
      <xdr:colOff>647701</xdr:colOff>
      <xdr:row>6</xdr:row>
      <xdr:rowOff>104775</xdr:rowOff>
    </xdr:from>
    <xdr:to>
      <xdr:col>11</xdr:col>
      <xdr:colOff>295275</xdr:colOff>
      <xdr:row>8</xdr:row>
      <xdr:rowOff>104775</xdr:rowOff>
    </xdr:to>
    <xdr:sp macro="" textlink="">
      <xdr:nvSpPr>
        <xdr:cNvPr id="34" name="TextBox 33">
          <a:extLst>
            <a:ext uri="{FF2B5EF4-FFF2-40B4-BE49-F238E27FC236}">
              <a16:creationId xmlns:a16="http://schemas.microsoft.com/office/drawing/2014/main" id="{783EA3D7-20E9-456C-9159-E705F8DEFA94}"/>
            </a:ext>
          </a:extLst>
        </xdr:cNvPr>
        <xdr:cNvSpPr txBox="1"/>
      </xdr:nvSpPr>
      <xdr:spPr>
        <a:xfrm>
          <a:off x="6819901" y="1190625"/>
          <a:ext cx="10191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0B050"/>
              </a:solidFill>
              <a:latin typeface="Trebuchet MS" panose="020B0603020202020204" pitchFamily="34" charset="0"/>
            </a:rPr>
            <a:t>Profit</a:t>
          </a:r>
        </a:p>
      </xdr:txBody>
    </xdr:sp>
    <xdr:clientData/>
  </xdr:twoCellAnchor>
  <xdr:twoCellAnchor editAs="oneCell">
    <xdr:from>
      <xdr:col>7</xdr:col>
      <xdr:colOff>342899</xdr:colOff>
      <xdr:row>5</xdr:row>
      <xdr:rowOff>104775</xdr:rowOff>
    </xdr:from>
    <xdr:to>
      <xdr:col>8</xdr:col>
      <xdr:colOff>466724</xdr:colOff>
      <xdr:row>9</xdr:row>
      <xdr:rowOff>123825</xdr:rowOff>
    </xdr:to>
    <xdr:pic>
      <xdr:nvPicPr>
        <xdr:cNvPr id="37" name="Graphic 36" descr="Upward trend with solid fill">
          <a:extLst>
            <a:ext uri="{FF2B5EF4-FFF2-40B4-BE49-F238E27FC236}">
              <a16:creationId xmlns:a16="http://schemas.microsoft.com/office/drawing/2014/main" id="{3AD8820E-8FE0-445D-B353-C5E8D13D78B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143499" y="1009650"/>
          <a:ext cx="809625" cy="742950"/>
        </a:xfrm>
        <a:prstGeom prst="rect">
          <a:avLst/>
        </a:prstGeom>
      </xdr:spPr>
    </xdr:pic>
    <xdr:clientData/>
  </xdr:twoCellAnchor>
  <xdr:twoCellAnchor>
    <xdr:from>
      <xdr:col>11</xdr:col>
      <xdr:colOff>466726</xdr:colOff>
      <xdr:row>10</xdr:row>
      <xdr:rowOff>161927</xdr:rowOff>
    </xdr:from>
    <xdr:to>
      <xdr:col>13</xdr:col>
      <xdr:colOff>390526</xdr:colOff>
      <xdr:row>12</xdr:row>
      <xdr:rowOff>123825</xdr:rowOff>
    </xdr:to>
    <xdr:sp macro="" textlink="'Pivot Table'!G40">
      <xdr:nvSpPr>
        <xdr:cNvPr id="38" name="TextBox 37">
          <a:extLst>
            <a:ext uri="{FF2B5EF4-FFF2-40B4-BE49-F238E27FC236}">
              <a16:creationId xmlns:a16="http://schemas.microsoft.com/office/drawing/2014/main" id="{85393E88-8392-4644-BE8F-A9B9E968D3FD}"/>
            </a:ext>
          </a:extLst>
        </xdr:cNvPr>
        <xdr:cNvSpPr txBox="1"/>
      </xdr:nvSpPr>
      <xdr:spPr>
        <a:xfrm>
          <a:off x="8010526" y="1971677"/>
          <a:ext cx="1295400" cy="323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8CB51E-AFD5-4670-897E-B649784CE3F6}" type="TxLink">
            <a:rPr lang="en-US" sz="2000" b="1" i="0" u="none" strike="noStrike">
              <a:solidFill>
                <a:schemeClr val="bg1"/>
              </a:solidFill>
              <a:latin typeface="Trebuchet MS" panose="020B0603020202020204" pitchFamily="34" charset="0"/>
              <a:ea typeface="+mn-ea"/>
              <a:cs typeface="+mn-cs"/>
            </a:rPr>
            <a:pPr marL="0" indent="0"/>
            <a:t>1017885</a:t>
          </a:fld>
          <a:endParaRPr lang="en-US" sz="2000" b="1" i="0" u="none" strike="noStrike">
            <a:solidFill>
              <a:schemeClr val="bg1"/>
            </a:solidFill>
            <a:latin typeface="Trebuchet MS" panose="020B0603020202020204" pitchFamily="34" charset="0"/>
            <a:ea typeface="+mn-ea"/>
            <a:cs typeface="+mn-cs"/>
          </a:endParaRPr>
        </a:p>
      </xdr:txBody>
    </xdr:sp>
    <xdr:clientData/>
  </xdr:twoCellAnchor>
  <xdr:twoCellAnchor>
    <xdr:from>
      <xdr:col>13</xdr:col>
      <xdr:colOff>419100</xdr:colOff>
      <xdr:row>6</xdr:row>
      <xdr:rowOff>66675</xdr:rowOff>
    </xdr:from>
    <xdr:to>
      <xdr:col>15</xdr:col>
      <xdr:colOff>523875</xdr:colOff>
      <xdr:row>8</xdr:row>
      <xdr:rowOff>66675</xdr:rowOff>
    </xdr:to>
    <xdr:sp macro="" textlink="">
      <xdr:nvSpPr>
        <xdr:cNvPr id="39" name="TextBox 38">
          <a:extLst>
            <a:ext uri="{FF2B5EF4-FFF2-40B4-BE49-F238E27FC236}">
              <a16:creationId xmlns:a16="http://schemas.microsoft.com/office/drawing/2014/main" id="{12C4E7B7-4BFE-4E5C-B38A-B46840D51F10}"/>
            </a:ext>
          </a:extLst>
        </xdr:cNvPr>
        <xdr:cNvSpPr txBox="1"/>
      </xdr:nvSpPr>
      <xdr:spPr>
        <a:xfrm>
          <a:off x="9334500" y="1152525"/>
          <a:ext cx="14763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0B050"/>
              </a:solidFill>
              <a:latin typeface="Trebuchet MS" panose="020B0603020202020204" pitchFamily="34" charset="0"/>
            </a:rPr>
            <a:t>Unit</a:t>
          </a:r>
          <a:r>
            <a:rPr lang="en-US" sz="2400" baseline="0">
              <a:solidFill>
                <a:srgbClr val="00B050"/>
              </a:solidFill>
              <a:latin typeface="Trebuchet MS" panose="020B0603020202020204" pitchFamily="34" charset="0"/>
            </a:rPr>
            <a:t> Sold</a:t>
          </a:r>
          <a:endParaRPr lang="en-US" sz="2400">
            <a:solidFill>
              <a:srgbClr val="00B050"/>
            </a:solidFill>
            <a:latin typeface="Trebuchet MS" panose="020B0603020202020204" pitchFamily="34" charset="0"/>
          </a:endParaRPr>
        </a:p>
      </xdr:txBody>
    </xdr:sp>
    <xdr:clientData/>
  </xdr:twoCellAnchor>
  <xdr:twoCellAnchor editAs="oneCell">
    <xdr:from>
      <xdr:col>11</xdr:col>
      <xdr:colOff>409575</xdr:colOff>
      <xdr:row>6</xdr:row>
      <xdr:rowOff>9524</xdr:rowOff>
    </xdr:from>
    <xdr:to>
      <xdr:col>12</xdr:col>
      <xdr:colOff>638175</xdr:colOff>
      <xdr:row>9</xdr:row>
      <xdr:rowOff>114300</xdr:rowOff>
    </xdr:to>
    <xdr:pic>
      <xdr:nvPicPr>
        <xdr:cNvPr id="42" name="Graphic 41" descr="Coins with solid fill">
          <a:extLst>
            <a:ext uri="{FF2B5EF4-FFF2-40B4-BE49-F238E27FC236}">
              <a16:creationId xmlns:a16="http://schemas.microsoft.com/office/drawing/2014/main" id="{519D2DD8-E0EA-4A54-8E9A-EF831670A15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953375" y="1095374"/>
          <a:ext cx="914400" cy="647701"/>
        </a:xfrm>
        <a:prstGeom prst="rect">
          <a:avLst/>
        </a:prstGeom>
      </xdr:spPr>
    </xdr:pic>
    <xdr:clientData/>
  </xdr:twoCellAnchor>
  <xdr:twoCellAnchor>
    <xdr:from>
      <xdr:col>3</xdr:col>
      <xdr:colOff>38099</xdr:colOff>
      <xdr:row>15</xdr:row>
      <xdr:rowOff>9525</xdr:rowOff>
    </xdr:from>
    <xdr:to>
      <xdr:col>8</xdr:col>
      <xdr:colOff>676274</xdr:colOff>
      <xdr:row>27</xdr:row>
      <xdr:rowOff>95250</xdr:rowOff>
    </xdr:to>
    <xdr:graphicFrame macro="">
      <xdr:nvGraphicFramePr>
        <xdr:cNvPr id="43" name="Chart 42">
          <a:extLst>
            <a:ext uri="{FF2B5EF4-FFF2-40B4-BE49-F238E27FC236}">
              <a16:creationId xmlns:a16="http://schemas.microsoft.com/office/drawing/2014/main" id="{687ABFAE-9227-44D8-90DC-9612B68CF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419099</xdr:colOff>
      <xdr:row>14</xdr:row>
      <xdr:rowOff>133349</xdr:rowOff>
    </xdr:from>
    <xdr:to>
      <xdr:col>15</xdr:col>
      <xdr:colOff>276224</xdr:colOff>
      <xdr:row>28</xdr:row>
      <xdr:rowOff>9525</xdr:rowOff>
    </xdr:to>
    <xdr:graphicFrame macro="">
      <xdr:nvGraphicFramePr>
        <xdr:cNvPr id="45" name="Chart 44">
          <a:extLst>
            <a:ext uri="{FF2B5EF4-FFF2-40B4-BE49-F238E27FC236}">
              <a16:creationId xmlns:a16="http://schemas.microsoft.com/office/drawing/2014/main" id="{7A68AE5A-3A9C-4B83-8371-E1ACB8298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152400</xdr:colOff>
      <xdr:row>28</xdr:row>
      <xdr:rowOff>19050</xdr:rowOff>
    </xdr:from>
    <xdr:to>
      <xdr:col>8</xdr:col>
      <xdr:colOff>657225</xdr:colOff>
      <xdr:row>39</xdr:row>
      <xdr:rowOff>19050</xdr:rowOff>
    </xdr:to>
    <xdr:graphicFrame macro="">
      <xdr:nvGraphicFramePr>
        <xdr:cNvPr id="46" name="Chart 45">
          <a:extLst>
            <a:ext uri="{FF2B5EF4-FFF2-40B4-BE49-F238E27FC236}">
              <a16:creationId xmlns:a16="http://schemas.microsoft.com/office/drawing/2014/main" id="{0EA33DDF-21BF-4115-ADC9-AFB56A76C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104775</xdr:colOff>
      <xdr:row>5</xdr:row>
      <xdr:rowOff>161925</xdr:rowOff>
    </xdr:from>
    <xdr:to>
      <xdr:col>22</xdr:col>
      <xdr:colOff>76200</xdr:colOff>
      <xdr:row>26</xdr:row>
      <xdr:rowOff>123825</xdr:rowOff>
    </xdr:to>
    <xdr:graphicFrame macro="">
      <xdr:nvGraphicFramePr>
        <xdr:cNvPr id="47" name="Chart 46">
          <a:extLst>
            <a:ext uri="{FF2B5EF4-FFF2-40B4-BE49-F238E27FC236}">
              <a16:creationId xmlns:a16="http://schemas.microsoft.com/office/drawing/2014/main" id="{03BB75F6-5067-4462-83E7-E2A3C89BF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304801</xdr:colOff>
      <xdr:row>28</xdr:row>
      <xdr:rowOff>76200</xdr:rowOff>
    </xdr:from>
    <xdr:to>
      <xdr:col>15</xdr:col>
      <xdr:colOff>638175</xdr:colOff>
      <xdr:row>38</xdr:row>
      <xdr:rowOff>142875</xdr:rowOff>
    </xdr:to>
    <xdr:graphicFrame macro="">
      <xdr:nvGraphicFramePr>
        <xdr:cNvPr id="48" name="Chart 47">
          <a:extLst>
            <a:ext uri="{FF2B5EF4-FFF2-40B4-BE49-F238E27FC236}">
              <a16:creationId xmlns:a16="http://schemas.microsoft.com/office/drawing/2014/main" id="{0369EEF4-DD84-4FB5-A382-2487D580B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219074</xdr:colOff>
      <xdr:row>28</xdr:row>
      <xdr:rowOff>28575</xdr:rowOff>
    </xdr:from>
    <xdr:to>
      <xdr:col>22</xdr:col>
      <xdr:colOff>171449</xdr:colOff>
      <xdr:row>38</xdr:row>
      <xdr:rowOff>171450</xdr:rowOff>
    </xdr:to>
    <xdr:graphicFrame macro="">
      <xdr:nvGraphicFramePr>
        <xdr:cNvPr id="49" name="Chart 48">
          <a:extLst>
            <a:ext uri="{FF2B5EF4-FFF2-40B4-BE49-F238E27FC236}">
              <a16:creationId xmlns:a16="http://schemas.microsoft.com/office/drawing/2014/main" id="{2DAF9CAC-52C2-47C3-BDC4-243032E28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47625</xdr:colOff>
      <xdr:row>16</xdr:row>
      <xdr:rowOff>142875</xdr:rowOff>
    </xdr:from>
    <xdr:to>
      <xdr:col>2</xdr:col>
      <xdr:colOff>504825</xdr:colOff>
      <xdr:row>32</xdr:row>
      <xdr:rowOff>0</xdr:rowOff>
    </xdr:to>
    <mc:AlternateContent xmlns:mc="http://schemas.openxmlformats.org/markup-compatibility/2006">
      <mc:Choice xmlns:a14="http://schemas.microsoft.com/office/drawing/2010/main" Requires="a14">
        <xdr:graphicFrame macro="">
          <xdr:nvGraphicFramePr>
            <xdr:cNvPr id="50" name="Country">
              <a:extLst>
                <a:ext uri="{FF2B5EF4-FFF2-40B4-BE49-F238E27FC236}">
                  <a16:creationId xmlns:a16="http://schemas.microsoft.com/office/drawing/2014/main" id="{F20ECAE5-B0B8-4340-8611-E95D9116F9D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7625" y="3038475"/>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32</xdr:row>
      <xdr:rowOff>9526</xdr:rowOff>
    </xdr:from>
    <xdr:to>
      <xdr:col>2</xdr:col>
      <xdr:colOff>514350</xdr:colOff>
      <xdr:row>39</xdr:row>
      <xdr:rowOff>66674</xdr:rowOff>
    </xdr:to>
    <mc:AlternateContent xmlns:mc="http://schemas.openxmlformats.org/markup-compatibility/2006">
      <mc:Choice xmlns:a14="http://schemas.microsoft.com/office/drawing/2010/main" Requires="a14">
        <xdr:graphicFrame macro="">
          <xdr:nvGraphicFramePr>
            <xdr:cNvPr id="51" name="Years">
              <a:extLst>
                <a:ext uri="{FF2B5EF4-FFF2-40B4-BE49-F238E27FC236}">
                  <a16:creationId xmlns:a16="http://schemas.microsoft.com/office/drawing/2014/main" id="{8024CCB4-EC75-483C-95AB-B10C6D3284C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7150" y="5800726"/>
              <a:ext cx="1828800" cy="1323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9525</xdr:rowOff>
    </xdr:from>
    <xdr:to>
      <xdr:col>12</xdr:col>
      <xdr:colOff>38100</xdr:colOff>
      <xdr:row>29</xdr:row>
      <xdr:rowOff>0</xdr:rowOff>
    </xdr:to>
    <xdr:sp macro="" textlink="">
      <xdr:nvSpPr>
        <xdr:cNvPr id="2" name="Rectangle 1">
          <a:extLst>
            <a:ext uri="{FF2B5EF4-FFF2-40B4-BE49-F238E27FC236}">
              <a16:creationId xmlns:a16="http://schemas.microsoft.com/office/drawing/2014/main" id="{796D421F-C535-4A55-ABA9-7C4D8AFD0DFF}"/>
            </a:ext>
          </a:extLst>
        </xdr:cNvPr>
        <xdr:cNvSpPr/>
      </xdr:nvSpPr>
      <xdr:spPr>
        <a:xfrm>
          <a:off x="2076450" y="371475"/>
          <a:ext cx="6191250" cy="4876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 columns</a:t>
          </a:r>
        </a:p>
        <a:p>
          <a:pPr algn="l"/>
          <a:r>
            <a:rPr lang="en-US" sz="1100"/>
            <a:t>701 rows</a:t>
          </a:r>
        </a:p>
        <a:p>
          <a:pPr algn="l"/>
          <a:r>
            <a:rPr lang="en-US" sz="1100"/>
            <a:t>3 Dimensions</a:t>
          </a:r>
        </a:p>
        <a:p>
          <a:pPr algn="l"/>
          <a:r>
            <a:rPr lang="en-US" sz="1100"/>
            <a:t>4 Metrics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TH" refreshedDate="46294.872326736113" createdVersion="7" refreshedVersion="7" minRefreshableVersion="3" recordCount="700" xr:uid="{A4B8D87E-00AB-4DF5-A8F0-DA0405A961BC}">
  <cacheSource type="worksheet">
    <worksheetSource name="Table1"/>
  </cacheSource>
  <cacheFields count="9">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ount="620">
        <n v="2731"/>
        <n v="1649"/>
        <n v="179"/>
        <n v="1895"/>
        <n v="1436"/>
        <n v="2916"/>
        <n v="742"/>
        <n v="1444"/>
        <n v="843"/>
        <n v="78"/>
        <n v="198"/>
        <n v="1369"/>
        <n v="2108"/>
        <n v="2773"/>
        <n v="1186"/>
        <n v="236"/>
        <n v="2904"/>
        <n v="2841"/>
        <n v="1300"/>
        <n v="1383"/>
        <n v="147"/>
        <n v="104"/>
        <n v="2720"/>
        <n v="2761"/>
        <n v="807"/>
        <n v="455"/>
        <n v="2166"/>
        <n v="1362"/>
        <n v="1835"/>
        <n v="800"/>
        <n v="1812"/>
        <n v="414"/>
        <n v="2076"/>
        <n v="531"/>
        <n v="2298"/>
        <n v="203"/>
        <n v="1574"/>
        <n v="2170"/>
        <n v="2810"/>
        <n v="2393"/>
        <n v="1090"/>
        <n v="1714"/>
        <n v="1290"/>
        <n v="110"/>
        <n v="988"/>
        <n v="1689"/>
        <n v="2139"/>
        <n v="74"/>
        <n v="1112"/>
        <n v="180"/>
        <n v="1302"/>
        <n v="157"/>
        <n v="221"/>
        <n v="1508"/>
        <n v="151"/>
        <n v="2963"/>
        <n v="2621"/>
        <n v="2372"/>
        <n v="1686"/>
        <n v="2914"/>
        <n v="379"/>
        <n v="1570"/>
        <n v="61"/>
        <n v="1391"/>
        <n v="265"/>
        <n v="388"/>
        <n v="1849"/>
        <n v="2758"/>
        <n v="1800"/>
        <n v="1558"/>
        <n v="2471"/>
        <n v="759"/>
        <n v="1273"/>
        <n v="2563"/>
        <n v="1162"/>
        <n v="1341"/>
        <n v="538"/>
        <n v="1611"/>
        <n v="96"/>
        <n v="827"/>
        <n v="1089"/>
        <n v="760"/>
        <n v="450"/>
        <n v="1867"/>
        <n v="299"/>
        <n v="440"/>
        <n v="384"/>
        <n v="678"/>
        <n v="186"/>
        <n v="2980"/>
        <n v="2785"/>
        <n v="1571"/>
        <n v="876"/>
        <n v="776"/>
        <n v="1550"/>
        <n v="2691"/>
        <n v="1039"/>
        <n v="2469"/>
        <n v="984"/>
        <n v="451"/>
        <n v="1516"/>
        <n v="664"/>
        <n v="1346"/>
        <n v="1232"/>
        <n v="2717"/>
        <n v="2285"/>
        <n v="1171"/>
        <n v="2902"/>
        <n v="1244"/>
        <n v="232"/>
        <n v="413"/>
        <n v="88"/>
        <n v="2594"/>
        <n v="1422"/>
        <n v="970"/>
        <n v="2819"/>
        <n v="65"/>
        <n v="542"/>
        <n v="1499"/>
        <n v="1181"/>
        <n v="2991"/>
        <n v="360"/>
        <n v="788"/>
        <n v="595"/>
        <n v="2511"/>
        <n v="300"/>
        <n v="808"/>
        <n v="1854"/>
        <n v="1347"/>
        <n v="1681"/>
        <n v="1964"/>
        <n v="863"/>
        <n v="1007"/>
        <n v="2082"/>
        <n v="526"/>
        <n v="367"/>
        <n v="294"/>
        <n v="797"/>
        <n v="746"/>
        <n v="321"/>
        <n v="1821"/>
        <n v="1312"/>
        <n v="2474"/>
        <n v="315"/>
        <n v="389"/>
        <n v="438"/>
        <n v="2674"/>
        <n v="2100"/>
        <n v="1215"/>
        <n v="425"/>
        <n v="2083"/>
        <n v="2421"/>
        <n v="195"/>
        <n v="2031"/>
        <n v="342"/>
        <n v="481"/>
        <n v="754"/>
        <n v="2048"/>
        <n v="2682"/>
        <n v="448"/>
        <n v="1013"/>
        <n v="2284"/>
        <n v="2091"/>
        <n v="1878"/>
        <n v="2158"/>
        <n v="856"/>
        <n v="1513"/>
        <n v="1375"/>
        <n v="60"/>
        <n v="1135"/>
        <n v="1918"/>
        <n v="2323"/>
        <n v="2661"/>
        <n v="821"/>
        <n v="1644"/>
        <n v="1657"/>
        <n v="934"/>
        <n v="1439"/>
        <n v="275"/>
        <n v="874"/>
        <n v="2315"/>
        <n v="986"/>
        <n v="2850"/>
        <n v="2603"/>
        <n v="2356"/>
        <n v="1961"/>
        <n v="1846"/>
        <n v="103"/>
        <n v="2786"/>
        <n v="1594"/>
        <n v="1093"/>
        <n v="1963"/>
        <n v="1826"/>
        <n v="1646"/>
        <n v="2516"/>
        <n v="2787"/>
        <n v="899"/>
        <n v="2159"/>
        <n v="2313"/>
        <n v="52"/>
        <n v="209"/>
        <n v="830"/>
        <n v="942"/>
        <n v="2080"/>
        <n v="2426"/>
        <n v="629"/>
        <n v="1983"/>
        <n v="1430"/>
        <n v="1340"/>
        <n v="1690"/>
        <n v="1001"/>
        <n v="2732"/>
        <n v="1037"/>
        <n v="1268"/>
        <n v="2835"/>
        <n v="1405"/>
        <n v="219"/>
        <n v="570"/>
        <n v="1536"/>
        <n v="89"/>
        <n v="1610"/>
        <n v="1468"/>
        <n v="1004"/>
        <n v="1033"/>
        <n v="1024"/>
        <n v="87"/>
        <n v="2425"/>
        <n v="1324"/>
        <n v="1249"/>
        <n v="1675"/>
        <n v="963"/>
        <n v="503"/>
        <n v="86"/>
        <n v="1761"/>
        <n v="845"/>
        <n v="1022"/>
        <n v="642"/>
        <n v="1187"/>
        <n v="1374"/>
        <n v="2321"/>
        <n v="2446"/>
        <n v="2212"/>
        <n v="2795"/>
        <n v="1396"/>
        <n v="1641"/>
        <n v="1939"/>
        <n v="2137"/>
        <n v="2046"/>
        <n v="1822"/>
        <n v="1335"/>
        <n v="2433"/>
        <n v="2189"/>
        <n v="2450"/>
        <n v="2668"/>
        <n v="2913"/>
        <n v="1754"/>
        <n v="2878"/>
        <n v="412"/>
        <n v="2654"/>
        <n v="1766"/>
        <n v="1243"/>
        <n v="405"/>
        <n v="240"/>
        <n v="2519"/>
        <n v="749"/>
        <n v="2104"/>
        <n v="2230"/>
        <n v="606"/>
        <n v="875"/>
        <n v="2858"/>
        <n v="1104"/>
        <n v="2632"/>
        <n v="475"/>
        <n v="2769"/>
        <n v="2460"/>
        <n v="1624"/>
        <n v="2179"/>
        <n v="2453"/>
        <n v="638"/>
        <n v="2062"/>
        <n v="1597"/>
        <n v="344"/>
        <n v="2035"/>
        <n v="1297"/>
        <n v="1598"/>
        <n v="1740"/>
        <n v="1306"/>
        <n v="2114"/>
        <n v="409"/>
        <n v="497"/>
        <n v="2953"/>
        <n v="2462"/>
        <n v="724"/>
        <n v="1057"/>
        <n v="1399"/>
        <n v="2564"/>
        <n v="635"/>
        <n v="1043"/>
        <n v="1485"/>
        <n v="621"/>
        <n v="2432"/>
        <n v="1295"/>
        <n v="2134"/>
        <n v="1038"/>
        <n v="327"/>
        <n v="1269"/>
        <n v="1937"/>
        <n v="533"/>
        <n v="1315"/>
        <n v="780"/>
        <n v="2289"/>
        <n v="967"/>
        <n v="2498"/>
        <n v="935"/>
        <n v="2802"/>
        <n v="71"/>
        <n v="523"/>
        <n v="2307"/>
        <n v="2403"/>
        <n v="753"/>
        <n v="736"/>
        <n v="334"/>
        <n v="765"/>
        <n v="812"/>
        <n v="997"/>
        <n v="2478"/>
        <n v="2557"/>
        <n v="1080"/>
        <n v="956"/>
        <n v="2976"/>
        <n v="2176"/>
        <n v="2556"/>
        <n v="619"/>
        <n v="2056"/>
        <n v="1503"/>
        <n v="787"/>
        <n v="565"/>
        <n v="2050"/>
        <n v="2494"/>
        <n v="936"/>
        <n v="2894"/>
        <n v="2254"/>
        <n v="1148"/>
        <n v="2981"/>
        <n v="1873"/>
        <n v="1760"/>
        <n v="1023"/>
        <n v="1612"/>
        <n v="2946"/>
        <n v="2845"/>
        <n v="70"/>
        <n v="2400"/>
        <n v="918"/>
        <n v="133"/>
        <n v="1732"/>
        <n v="2026"/>
        <n v="1460"/>
        <n v="1580"/>
        <n v="983"/>
        <n v="2030"/>
        <n v="1905"/>
        <n v="842"/>
        <n v="841"/>
        <n v="1859"/>
        <n v="1344"/>
        <n v="2589"/>
        <n v="2305"/>
        <n v="1133"/>
        <n v="2527"/>
        <n v="1034"/>
        <n v="1730"/>
        <n v="569"/>
        <n v="640"/>
        <n v="1100"/>
        <n v="1759"/>
        <n v="2085"/>
        <n v="2296"/>
        <n v="2484"/>
        <n v="398"/>
        <n v="1009"/>
        <n v="2013"/>
        <n v="1609"/>
        <n v="427"/>
        <n v="2996"/>
        <n v="576"/>
        <n v="2831"/>
        <n v="2303"/>
        <n v="2552"/>
        <n v="1309"/>
        <n v="1925"/>
        <n v="1813"/>
        <n v="1751"/>
        <n v="1066"/>
        <n v="2823"/>
        <n v="1063"/>
        <n v="2598"/>
        <n v="166"/>
        <n v="2483"/>
        <n v="1417"/>
        <n v="633"/>
        <n v="444"/>
        <n v="1137"/>
        <n v="2818"/>
        <n v="121"/>
        <n v="323"/>
        <n v="2063"/>
        <n v="1393"/>
        <n v="387"/>
        <n v="656"/>
        <n v="215"/>
        <n v="1617"/>
        <n v="778"/>
        <n v="2898"/>
        <n v="2093"/>
        <n v="1465"/>
        <n v="828"/>
        <n v="263"/>
        <n v="1161"/>
        <n v="1626"/>
        <n v="2685"/>
        <n v="2986"/>
        <n v="1745"/>
        <n v="641"/>
        <n v="1159"/>
        <n v="2770"/>
        <n v="763"/>
        <n v="985"/>
        <n v="2001"/>
        <n v="291"/>
        <n v="51"/>
        <n v="2322"/>
        <n v="1818"/>
        <n v="1999"/>
        <n v="2686"/>
        <n v="2213"/>
        <n v="2291"/>
        <n v="2968"/>
        <n v="139"/>
        <n v="2219"/>
        <n v="192"/>
        <n v="155"/>
        <n v="477"/>
        <n v="1378"/>
        <n v="1945"/>
        <n v="2044"/>
        <n v="366"/>
        <n v="2036"/>
        <n v="684"/>
        <n v="1975"/>
        <n v="2106"/>
        <n v="2871"/>
        <n v="2320"/>
        <n v="1489"/>
        <n v="602"/>
        <n v="1337"/>
        <n v="1763"/>
        <n v="1933"/>
        <n v="1157"/>
        <n v="160"/>
        <n v="2480"/>
        <n v="508"/>
        <n v="257"/>
        <n v="949"/>
        <n v="459"/>
        <n v="944"/>
        <n v="564"/>
        <n v="858"/>
        <n v="923"/>
        <n v="63"/>
        <n v="1020"/>
        <n v="2184"/>
        <n v="1316"/>
        <n v="799"/>
        <n v="734"/>
        <n v="1977"/>
        <n v="2406"/>
        <n v="744"/>
        <n v="2385"/>
        <n v="356"/>
        <n v="2039"/>
        <n v="711"/>
        <n v="598"/>
        <n v="361"/>
        <n v="2970"/>
        <n v="1132"/>
        <n v="1787"/>
        <n v="804"/>
        <n v="84"/>
        <n v="494"/>
        <n v="2190"/>
        <n v="2032"/>
        <n v="1280"/>
        <n v="402"/>
        <n v="952"/>
        <n v="2959"/>
        <n v="1798"/>
        <n v="208"/>
        <n v="2027"/>
        <n v="1006"/>
        <n v="2121"/>
        <n v="453"/>
        <n v="2829"/>
        <n v="1437"/>
        <n v="2629"/>
        <n v="1005"/>
        <n v="2249"/>
        <n v="1762"/>
        <n v="657"/>
        <n v="2517"/>
        <n v="1323"/>
        <n v="1585"/>
        <n v="2675"/>
        <n v="1491"/>
        <n v="1847"/>
        <n v="235"/>
        <n v="1319"/>
        <n v="686"/>
        <n v="579"/>
        <n v="2118"/>
        <n v="2964"/>
        <n v="2197"/>
        <n v="2849"/>
        <n v="527"/>
        <n v="1672"/>
        <n v="989"/>
        <n v="575"/>
        <n v="2431"/>
        <n v="424"/>
        <n v="2390"/>
        <n v="2934"/>
        <n v="2415"/>
        <n v="1575"/>
        <n v="1901"/>
        <n v="430"/>
        <n v="1696"/>
        <n v="553"/>
        <n v="2328"/>
        <n v="2058"/>
        <n v="887"/>
        <n v="2988"/>
        <n v="2090"/>
        <n v="77"/>
        <n v="2163"/>
        <n v="310"/>
        <n v="2096"/>
        <n v="1522"/>
        <n v="1497"/>
        <n v="509"/>
        <n v="350"/>
        <n v="2384"/>
        <n v="679"/>
        <n v="319"/>
        <n v="2689"/>
        <n v="2043"/>
        <n v="1678"/>
        <n v="1851"/>
        <n v="2941"/>
        <n v="911"/>
        <n v="1330"/>
        <n v="1756"/>
        <n v="2610"/>
        <n v="2410"/>
        <n v="625"/>
        <n v="2983"/>
        <n v="2053"/>
        <n v="1357"/>
        <n v="2006"/>
        <n v="2784"/>
        <n v="2070"/>
        <n v="2262"/>
        <n v="2402"/>
        <n v="1705"/>
        <n v="1629"/>
        <n v="1897"/>
        <n v="2253"/>
        <n v="1440"/>
        <n v="1792"/>
        <n v="669"/>
        <n v="1989"/>
        <n v="1018"/>
        <n v="2608"/>
        <n v="1366"/>
        <n v="331"/>
        <n v="2216"/>
        <n v="1108"/>
        <n v="247"/>
        <n v="2582"/>
        <n v="1234"/>
        <n v="1058"/>
        <n v="2788"/>
        <n v="1279"/>
        <n v="1085"/>
        <n v="539"/>
        <n v="325"/>
        <n v="2790"/>
        <n v="2339"/>
        <n v="1289"/>
        <n v="175"/>
        <n v="266"/>
        <n v="1258"/>
        <n v="1296"/>
        <n v="2592"/>
        <n v="2524"/>
        <n v="968"/>
        <n v="1367"/>
        <n v="2248"/>
        <n v="2481"/>
        <n v="1711"/>
        <n v="357"/>
        <n v="1409"/>
        <n v="2019"/>
        <n v="2843"/>
        <n v="941"/>
        <n v="1414"/>
        <n v="178"/>
        <n v="1064"/>
        <n v="2766"/>
        <n v="1431"/>
        <n v="566"/>
        <n v="1568"/>
      </sharedItems>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8" base="6">
        <rangePr groupBy="months" startDate="2024-01-02T00:00:00" endDate="2026-12-30T00:00:00"/>
        <groupItems count="14">
          <s v="&lt;1/2/2024"/>
          <s v="Jan"/>
          <s v="Feb"/>
          <s v="Mar"/>
          <s v="Apr"/>
          <s v="May"/>
          <s v="Jun"/>
          <s v="Jul"/>
          <s v="Aug"/>
          <s v="Sep"/>
          <s v="Oct"/>
          <s v="Nov"/>
          <s v="Dec"/>
          <s v="&gt;12/30/2026"/>
        </groupItems>
      </fieldGroup>
    </cacheField>
    <cacheField name="Quarters" numFmtId="0" databaseField="0">
      <fieldGroup base="6">
        <rangePr groupBy="quarters" startDate="2024-01-02T00:00:00" endDate="2026-12-30T00:00:00"/>
        <groupItems count="6">
          <s v="&lt;1/2/2024"/>
          <s v="Qtr1"/>
          <s v="Qtr2"/>
          <s v="Qtr3"/>
          <s v="Qtr4"/>
          <s v="&gt;12/30/2026"/>
        </groupItems>
      </fieldGroup>
    </cacheField>
    <cacheField name="Years"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251112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8193000"/>
    <n v="4915800"/>
    <n v="3277200"/>
    <x v="0"/>
  </r>
  <r>
    <x v="1"/>
    <x v="1"/>
    <x v="1"/>
    <n v="5771500"/>
    <n v="4287400"/>
    <n v="1484100"/>
    <x v="1"/>
  </r>
  <r>
    <x v="2"/>
    <x v="2"/>
    <x v="2"/>
    <n v="214800"/>
    <n v="152150"/>
    <n v="62650"/>
    <x v="2"/>
  </r>
  <r>
    <x v="3"/>
    <x v="3"/>
    <x v="3"/>
    <n v="2274000"/>
    <n v="1516000"/>
    <n v="758000"/>
    <x v="3"/>
  </r>
  <r>
    <x v="0"/>
    <x v="1"/>
    <x v="4"/>
    <n v="5026000"/>
    <n v="3733600"/>
    <n v="1292400"/>
    <x v="4"/>
  </r>
  <r>
    <x v="4"/>
    <x v="3"/>
    <x v="5"/>
    <n v="3499200"/>
    <n v="2332800"/>
    <n v="1166400"/>
    <x v="5"/>
  </r>
  <r>
    <x v="5"/>
    <x v="3"/>
    <x v="6"/>
    <n v="890400"/>
    <n v="593600"/>
    <n v="296800"/>
    <x v="6"/>
  </r>
  <r>
    <x v="0"/>
    <x v="3"/>
    <x v="7"/>
    <n v="1732800"/>
    <n v="1155200"/>
    <n v="577600"/>
    <x v="7"/>
  </r>
  <r>
    <x v="2"/>
    <x v="1"/>
    <x v="8"/>
    <n v="2950500"/>
    <n v="2191800"/>
    <n v="758700"/>
    <x v="8"/>
  </r>
  <r>
    <x v="3"/>
    <x v="0"/>
    <x v="9"/>
    <n v="234000"/>
    <n v="140400"/>
    <n v="93600"/>
    <x v="9"/>
  </r>
  <r>
    <x v="1"/>
    <x v="4"/>
    <x v="10"/>
    <n v="2970000"/>
    <n v="2178000"/>
    <n v="792000"/>
    <x v="10"/>
  </r>
  <r>
    <x v="2"/>
    <x v="4"/>
    <x v="11"/>
    <n v="20535000"/>
    <n v="15059000"/>
    <n v="5476000"/>
    <x v="11"/>
  </r>
  <r>
    <x v="2"/>
    <x v="0"/>
    <x v="12"/>
    <n v="6324000"/>
    <n v="3794400"/>
    <n v="2529600"/>
    <x v="12"/>
  </r>
  <r>
    <x v="5"/>
    <x v="3"/>
    <x v="13"/>
    <n v="3327600"/>
    <n v="2218400"/>
    <n v="1109200"/>
    <x v="13"/>
  </r>
  <r>
    <x v="6"/>
    <x v="2"/>
    <x v="14"/>
    <n v="1423200"/>
    <n v="1008100"/>
    <n v="415100"/>
    <x v="14"/>
  </r>
  <r>
    <x v="3"/>
    <x v="5"/>
    <x v="15"/>
    <n v="10620000"/>
    <n v="8968000"/>
    <n v="1652000"/>
    <x v="15"/>
  </r>
  <r>
    <x v="7"/>
    <x v="1"/>
    <x v="16"/>
    <n v="10164000"/>
    <n v="7550400"/>
    <n v="2613600"/>
    <x v="16"/>
  </r>
  <r>
    <x v="2"/>
    <x v="5"/>
    <x v="17"/>
    <n v="127845000"/>
    <n v="107958000"/>
    <n v="19887000"/>
    <x v="17"/>
  </r>
  <r>
    <x v="6"/>
    <x v="0"/>
    <x v="18"/>
    <n v="3900000"/>
    <n v="2340000"/>
    <n v="1560000"/>
    <x v="18"/>
  </r>
  <r>
    <x v="7"/>
    <x v="2"/>
    <x v="19"/>
    <n v="1659600"/>
    <n v="1175550"/>
    <n v="484050"/>
    <x v="19"/>
  </r>
  <r>
    <x v="3"/>
    <x v="1"/>
    <x v="20"/>
    <n v="514500"/>
    <n v="382200"/>
    <n v="132300"/>
    <x v="20"/>
  </r>
  <r>
    <x v="8"/>
    <x v="0"/>
    <x v="21"/>
    <n v="312000"/>
    <n v="187200"/>
    <n v="124800"/>
    <x v="21"/>
  </r>
  <r>
    <x v="4"/>
    <x v="3"/>
    <x v="22"/>
    <n v="3264000"/>
    <n v="2176000"/>
    <n v="1088000"/>
    <x v="22"/>
  </r>
  <r>
    <x v="6"/>
    <x v="4"/>
    <x v="23"/>
    <n v="41415000"/>
    <n v="30371000"/>
    <n v="11044000"/>
    <x v="23"/>
  </r>
  <r>
    <x v="9"/>
    <x v="5"/>
    <x v="24"/>
    <n v="36315000"/>
    <n v="30666000"/>
    <n v="5649000"/>
    <x v="24"/>
  </r>
  <r>
    <x v="8"/>
    <x v="6"/>
    <x v="25"/>
    <n v="2275000"/>
    <n v="1911000"/>
    <n v="364000"/>
    <x v="25"/>
  </r>
  <r>
    <x v="4"/>
    <x v="6"/>
    <x v="26"/>
    <n v="10830000"/>
    <n v="9097200"/>
    <n v="1732800"/>
    <x v="26"/>
  </r>
  <r>
    <x v="5"/>
    <x v="2"/>
    <x v="27"/>
    <n v="1634400"/>
    <n v="1157700"/>
    <n v="476700"/>
    <x v="27"/>
  </r>
  <r>
    <x v="0"/>
    <x v="3"/>
    <x v="28"/>
    <n v="2202000"/>
    <n v="1468000"/>
    <n v="734000"/>
    <x v="28"/>
  </r>
  <r>
    <x v="1"/>
    <x v="5"/>
    <x v="29"/>
    <n v="36000000"/>
    <n v="30400000"/>
    <n v="5600000"/>
    <x v="29"/>
  </r>
  <r>
    <x v="9"/>
    <x v="3"/>
    <x v="30"/>
    <n v="2174400"/>
    <n v="1449600"/>
    <n v="724800"/>
    <x v="30"/>
  </r>
  <r>
    <x v="5"/>
    <x v="5"/>
    <x v="31"/>
    <n v="18630000"/>
    <n v="15732000"/>
    <n v="2898000"/>
    <x v="31"/>
  </r>
  <r>
    <x v="3"/>
    <x v="2"/>
    <x v="32"/>
    <n v="2491200"/>
    <n v="1764600"/>
    <n v="726600"/>
    <x v="32"/>
  </r>
  <r>
    <x v="5"/>
    <x v="2"/>
    <x v="33"/>
    <n v="637200"/>
    <n v="451350"/>
    <n v="185850"/>
    <x v="33"/>
  </r>
  <r>
    <x v="0"/>
    <x v="6"/>
    <x v="34"/>
    <n v="11490000"/>
    <n v="9651600"/>
    <n v="1838400"/>
    <x v="34"/>
  </r>
  <r>
    <x v="3"/>
    <x v="3"/>
    <x v="35"/>
    <n v="243600"/>
    <n v="162400"/>
    <n v="81200"/>
    <x v="35"/>
  </r>
  <r>
    <x v="9"/>
    <x v="1"/>
    <x v="36"/>
    <n v="5509000"/>
    <n v="4092400"/>
    <n v="1416600"/>
    <x v="36"/>
  </r>
  <r>
    <x v="0"/>
    <x v="6"/>
    <x v="37"/>
    <n v="10850000"/>
    <n v="9114000"/>
    <n v="1736000"/>
    <x v="37"/>
  </r>
  <r>
    <x v="7"/>
    <x v="3"/>
    <x v="38"/>
    <n v="3372000"/>
    <n v="2248000"/>
    <n v="1124000"/>
    <x v="38"/>
  </r>
  <r>
    <x v="1"/>
    <x v="6"/>
    <x v="39"/>
    <n v="11965000"/>
    <n v="10050600"/>
    <n v="1914400"/>
    <x v="39"/>
  </r>
  <r>
    <x v="9"/>
    <x v="1"/>
    <x v="40"/>
    <n v="3815000"/>
    <n v="2834000"/>
    <n v="981000"/>
    <x v="40"/>
  </r>
  <r>
    <x v="7"/>
    <x v="4"/>
    <x v="41"/>
    <n v="25710000"/>
    <n v="18854000"/>
    <n v="6856000"/>
    <x v="41"/>
  </r>
  <r>
    <x v="4"/>
    <x v="4"/>
    <x v="42"/>
    <n v="19350000"/>
    <n v="14190000"/>
    <n v="5160000"/>
    <x v="42"/>
  </r>
  <r>
    <x v="9"/>
    <x v="4"/>
    <x v="43"/>
    <n v="1650000"/>
    <n v="1210000"/>
    <n v="440000"/>
    <x v="43"/>
  </r>
  <r>
    <x v="4"/>
    <x v="4"/>
    <x v="44"/>
    <n v="14820000"/>
    <n v="10868000"/>
    <n v="3952000"/>
    <x v="44"/>
  </r>
  <r>
    <x v="3"/>
    <x v="0"/>
    <x v="45"/>
    <n v="5067000"/>
    <n v="3040200"/>
    <n v="2026800"/>
    <x v="45"/>
  </r>
  <r>
    <x v="7"/>
    <x v="5"/>
    <x v="46"/>
    <n v="96255000"/>
    <n v="81282000"/>
    <n v="14973000"/>
    <x v="46"/>
  </r>
  <r>
    <x v="1"/>
    <x v="0"/>
    <x v="47"/>
    <n v="222000"/>
    <n v="133200"/>
    <n v="88800"/>
    <x v="47"/>
  </r>
  <r>
    <x v="0"/>
    <x v="0"/>
    <x v="48"/>
    <n v="3336000"/>
    <n v="2001600"/>
    <n v="1334400"/>
    <x v="48"/>
  </r>
  <r>
    <x v="2"/>
    <x v="0"/>
    <x v="49"/>
    <n v="540000"/>
    <n v="324000"/>
    <n v="216000"/>
    <x v="49"/>
  </r>
  <r>
    <x v="5"/>
    <x v="4"/>
    <x v="50"/>
    <n v="19530000"/>
    <n v="14322000"/>
    <n v="5208000"/>
    <x v="50"/>
  </r>
  <r>
    <x v="8"/>
    <x v="1"/>
    <x v="51"/>
    <n v="549500"/>
    <n v="408200"/>
    <n v="141300"/>
    <x v="51"/>
  </r>
  <r>
    <x v="1"/>
    <x v="2"/>
    <x v="52"/>
    <n v="265200"/>
    <n v="187850"/>
    <n v="77350"/>
    <x v="52"/>
  </r>
  <r>
    <x v="7"/>
    <x v="2"/>
    <x v="53"/>
    <n v="1809600"/>
    <n v="1281800"/>
    <n v="527800"/>
    <x v="53"/>
  </r>
  <r>
    <x v="2"/>
    <x v="5"/>
    <x v="54"/>
    <n v="6795000"/>
    <n v="5738000"/>
    <n v="1057000"/>
    <x v="54"/>
  </r>
  <r>
    <x v="1"/>
    <x v="4"/>
    <x v="55"/>
    <n v="44445000"/>
    <n v="32593000"/>
    <n v="11852000"/>
    <x v="55"/>
  </r>
  <r>
    <x v="7"/>
    <x v="4"/>
    <x v="56"/>
    <n v="39315000"/>
    <n v="28831000"/>
    <n v="10484000"/>
    <x v="56"/>
  </r>
  <r>
    <x v="6"/>
    <x v="4"/>
    <x v="57"/>
    <n v="35580000"/>
    <n v="26092000"/>
    <n v="9488000"/>
    <x v="57"/>
  </r>
  <r>
    <x v="6"/>
    <x v="6"/>
    <x v="58"/>
    <n v="8430000"/>
    <n v="7081200"/>
    <n v="1348800"/>
    <x v="58"/>
  </r>
  <r>
    <x v="4"/>
    <x v="3"/>
    <x v="59"/>
    <n v="3496800"/>
    <n v="2331200"/>
    <n v="1165600"/>
    <x v="59"/>
  </r>
  <r>
    <x v="1"/>
    <x v="6"/>
    <x v="40"/>
    <n v="5450000"/>
    <n v="4578000"/>
    <n v="872000"/>
    <x v="60"/>
  </r>
  <r>
    <x v="6"/>
    <x v="3"/>
    <x v="60"/>
    <n v="454800"/>
    <n v="303200"/>
    <n v="151600"/>
    <x v="61"/>
  </r>
  <r>
    <x v="7"/>
    <x v="4"/>
    <x v="61"/>
    <n v="23550000"/>
    <n v="17270000"/>
    <n v="6280000"/>
    <x v="62"/>
  </r>
  <r>
    <x v="4"/>
    <x v="4"/>
    <x v="62"/>
    <n v="915000"/>
    <n v="671000"/>
    <n v="244000"/>
    <x v="63"/>
  </r>
  <r>
    <x v="7"/>
    <x v="6"/>
    <x v="63"/>
    <n v="6955000"/>
    <n v="5842200"/>
    <n v="1112800"/>
    <x v="64"/>
  </r>
  <r>
    <x v="4"/>
    <x v="6"/>
    <x v="64"/>
    <n v="1325000"/>
    <n v="1113000"/>
    <n v="212000"/>
    <x v="2"/>
  </r>
  <r>
    <x v="1"/>
    <x v="3"/>
    <x v="65"/>
    <n v="465600"/>
    <n v="310400"/>
    <n v="155200"/>
    <x v="65"/>
  </r>
  <r>
    <x v="2"/>
    <x v="2"/>
    <x v="66"/>
    <n v="2218800"/>
    <n v="1571650"/>
    <n v="647150"/>
    <x v="66"/>
  </r>
  <r>
    <x v="0"/>
    <x v="3"/>
    <x v="67"/>
    <n v="3309600"/>
    <n v="2206400"/>
    <n v="1103200"/>
    <x v="67"/>
  </r>
  <r>
    <x v="9"/>
    <x v="6"/>
    <x v="68"/>
    <n v="9000000"/>
    <n v="7560000"/>
    <n v="1440000"/>
    <x v="68"/>
  </r>
  <r>
    <x v="2"/>
    <x v="1"/>
    <x v="69"/>
    <n v="5453000"/>
    <n v="4050800"/>
    <n v="1402200"/>
    <x v="69"/>
  </r>
  <r>
    <x v="3"/>
    <x v="6"/>
    <x v="70"/>
    <n v="12355000"/>
    <n v="10378200"/>
    <n v="1976800"/>
    <x v="70"/>
  </r>
  <r>
    <x v="7"/>
    <x v="1"/>
    <x v="71"/>
    <n v="2656500"/>
    <n v="1973400"/>
    <n v="683100"/>
    <x v="71"/>
  </r>
  <r>
    <x v="3"/>
    <x v="5"/>
    <x v="72"/>
    <n v="57285000"/>
    <n v="48374000"/>
    <n v="8911000"/>
    <x v="72"/>
  </r>
  <r>
    <x v="2"/>
    <x v="6"/>
    <x v="73"/>
    <n v="12815000"/>
    <n v="10764600"/>
    <n v="2050400"/>
    <x v="73"/>
  </r>
  <r>
    <x v="4"/>
    <x v="5"/>
    <x v="74"/>
    <n v="52290000"/>
    <n v="44156000"/>
    <n v="8134000"/>
    <x v="74"/>
  </r>
  <r>
    <x v="9"/>
    <x v="2"/>
    <x v="75"/>
    <n v="1609200"/>
    <n v="1139850"/>
    <n v="469350"/>
    <x v="75"/>
  </r>
  <r>
    <x v="9"/>
    <x v="3"/>
    <x v="76"/>
    <n v="645600"/>
    <n v="430400"/>
    <n v="215200"/>
    <x v="76"/>
  </r>
  <r>
    <x v="8"/>
    <x v="1"/>
    <x v="77"/>
    <n v="5638500"/>
    <n v="4188600"/>
    <n v="1449900"/>
    <x v="77"/>
  </r>
  <r>
    <x v="9"/>
    <x v="3"/>
    <x v="78"/>
    <n v="115200"/>
    <n v="76800"/>
    <n v="38400"/>
    <x v="78"/>
  </r>
  <r>
    <x v="0"/>
    <x v="5"/>
    <x v="79"/>
    <n v="37215000"/>
    <n v="31426000"/>
    <n v="5789000"/>
    <x v="79"/>
  </r>
  <r>
    <x v="9"/>
    <x v="1"/>
    <x v="80"/>
    <n v="3811500"/>
    <n v="2831400"/>
    <n v="980100"/>
    <x v="80"/>
  </r>
  <r>
    <x v="2"/>
    <x v="3"/>
    <x v="81"/>
    <n v="912000"/>
    <n v="608000"/>
    <n v="304000"/>
    <x v="81"/>
  </r>
  <r>
    <x v="8"/>
    <x v="6"/>
    <x v="82"/>
    <n v="2250000"/>
    <n v="1890000"/>
    <n v="360000"/>
    <x v="82"/>
  </r>
  <r>
    <x v="2"/>
    <x v="4"/>
    <x v="83"/>
    <n v="28005000"/>
    <n v="20537000"/>
    <n v="7468000"/>
    <x v="24"/>
  </r>
  <r>
    <x v="2"/>
    <x v="5"/>
    <x v="84"/>
    <n v="13455000"/>
    <n v="11362000"/>
    <n v="2093000"/>
    <x v="83"/>
  </r>
  <r>
    <x v="5"/>
    <x v="3"/>
    <x v="85"/>
    <n v="528000"/>
    <n v="352000"/>
    <n v="176000"/>
    <x v="40"/>
  </r>
  <r>
    <x v="8"/>
    <x v="5"/>
    <x v="86"/>
    <n v="17280000"/>
    <n v="14592000"/>
    <n v="2688000"/>
    <x v="84"/>
  </r>
  <r>
    <x v="2"/>
    <x v="0"/>
    <x v="87"/>
    <n v="2034000"/>
    <n v="1220400"/>
    <n v="813600"/>
    <x v="85"/>
  </r>
  <r>
    <x v="5"/>
    <x v="5"/>
    <x v="88"/>
    <n v="8370000"/>
    <n v="7068000"/>
    <n v="1302000"/>
    <x v="86"/>
  </r>
  <r>
    <x v="5"/>
    <x v="1"/>
    <x v="89"/>
    <n v="10430000"/>
    <n v="7748000"/>
    <n v="2682000"/>
    <x v="21"/>
  </r>
  <r>
    <x v="8"/>
    <x v="0"/>
    <x v="90"/>
    <n v="8355000"/>
    <n v="5013000"/>
    <n v="3342000"/>
    <x v="87"/>
  </r>
  <r>
    <x v="3"/>
    <x v="1"/>
    <x v="91"/>
    <n v="5498500"/>
    <n v="4084600"/>
    <n v="1413900"/>
    <x v="88"/>
  </r>
  <r>
    <x v="4"/>
    <x v="4"/>
    <x v="92"/>
    <n v="13140000"/>
    <n v="9636000"/>
    <n v="3504000"/>
    <x v="89"/>
  </r>
  <r>
    <x v="0"/>
    <x v="0"/>
    <x v="93"/>
    <n v="2328000"/>
    <n v="1396800"/>
    <n v="931200"/>
    <x v="90"/>
  </r>
  <r>
    <x v="4"/>
    <x v="6"/>
    <x v="94"/>
    <n v="7750000"/>
    <n v="6510000"/>
    <n v="1240000"/>
    <x v="91"/>
  </r>
  <r>
    <x v="9"/>
    <x v="5"/>
    <x v="95"/>
    <n v="121095000"/>
    <n v="102258000"/>
    <n v="18837000"/>
    <x v="92"/>
  </r>
  <r>
    <x v="0"/>
    <x v="3"/>
    <x v="96"/>
    <n v="1246800"/>
    <n v="831200"/>
    <n v="415600"/>
    <x v="93"/>
  </r>
  <r>
    <x v="9"/>
    <x v="2"/>
    <x v="97"/>
    <n v="2962800"/>
    <n v="2098650"/>
    <n v="864150"/>
    <x v="94"/>
  </r>
  <r>
    <x v="2"/>
    <x v="5"/>
    <x v="98"/>
    <n v="44280000"/>
    <n v="37392000"/>
    <n v="6888000"/>
    <x v="95"/>
  </r>
  <r>
    <x v="7"/>
    <x v="5"/>
    <x v="99"/>
    <n v="20295000"/>
    <n v="17138000"/>
    <n v="3157000"/>
    <x v="96"/>
  </r>
  <r>
    <x v="8"/>
    <x v="4"/>
    <x v="100"/>
    <n v="22740000"/>
    <n v="16676000"/>
    <n v="6064000"/>
    <x v="97"/>
  </r>
  <r>
    <x v="0"/>
    <x v="6"/>
    <x v="101"/>
    <n v="3320000"/>
    <n v="2788800"/>
    <n v="531200"/>
    <x v="98"/>
  </r>
  <r>
    <x v="0"/>
    <x v="2"/>
    <x v="102"/>
    <n v="1615200"/>
    <n v="1144100"/>
    <n v="471100"/>
    <x v="99"/>
  </r>
  <r>
    <x v="2"/>
    <x v="0"/>
    <x v="103"/>
    <n v="3696000"/>
    <n v="2217600"/>
    <n v="1478400"/>
    <x v="64"/>
  </r>
  <r>
    <x v="3"/>
    <x v="0"/>
    <x v="104"/>
    <n v="8151000"/>
    <n v="4890600"/>
    <n v="3260400"/>
    <x v="77"/>
  </r>
  <r>
    <x v="5"/>
    <x v="0"/>
    <x v="105"/>
    <n v="6855000"/>
    <n v="4113000"/>
    <n v="2742000"/>
    <x v="100"/>
  </r>
  <r>
    <x v="2"/>
    <x v="1"/>
    <x v="106"/>
    <n v="4098500"/>
    <n v="3044600"/>
    <n v="1053900"/>
    <x v="101"/>
  </r>
  <r>
    <x v="6"/>
    <x v="1"/>
    <x v="49"/>
    <n v="630000"/>
    <n v="468000"/>
    <n v="162000"/>
    <x v="102"/>
  </r>
  <r>
    <x v="5"/>
    <x v="3"/>
    <x v="107"/>
    <n v="3482400"/>
    <n v="2321600"/>
    <n v="1160800"/>
    <x v="103"/>
  </r>
  <r>
    <x v="8"/>
    <x v="2"/>
    <x v="108"/>
    <n v="1492800"/>
    <n v="1057400"/>
    <n v="435400"/>
    <x v="104"/>
  </r>
  <r>
    <x v="5"/>
    <x v="0"/>
    <x v="109"/>
    <n v="696000"/>
    <n v="417600"/>
    <n v="278400"/>
    <x v="105"/>
  </r>
  <r>
    <x v="3"/>
    <x v="1"/>
    <x v="110"/>
    <n v="1445500"/>
    <n v="1073800"/>
    <n v="371700"/>
    <x v="106"/>
  </r>
  <r>
    <x v="5"/>
    <x v="3"/>
    <x v="111"/>
    <n v="105600"/>
    <n v="70400"/>
    <n v="35200"/>
    <x v="107"/>
  </r>
  <r>
    <x v="8"/>
    <x v="6"/>
    <x v="112"/>
    <n v="12970000"/>
    <n v="10894800"/>
    <n v="2075200"/>
    <x v="108"/>
  </r>
  <r>
    <x v="3"/>
    <x v="3"/>
    <x v="113"/>
    <n v="1706400"/>
    <n v="1137600"/>
    <n v="568800"/>
    <x v="109"/>
  </r>
  <r>
    <x v="4"/>
    <x v="1"/>
    <x v="114"/>
    <n v="3395000"/>
    <n v="2522000"/>
    <n v="873000"/>
    <x v="110"/>
  </r>
  <r>
    <x v="0"/>
    <x v="4"/>
    <x v="115"/>
    <n v="42285000"/>
    <n v="31009000"/>
    <n v="11276000"/>
    <x v="111"/>
  </r>
  <r>
    <x v="0"/>
    <x v="4"/>
    <x v="116"/>
    <n v="975000"/>
    <n v="715000"/>
    <n v="260000"/>
    <x v="112"/>
  </r>
  <r>
    <x v="9"/>
    <x v="0"/>
    <x v="117"/>
    <n v="1626000"/>
    <n v="975600"/>
    <n v="650400"/>
    <x v="113"/>
  </r>
  <r>
    <x v="4"/>
    <x v="4"/>
    <x v="118"/>
    <n v="22485000"/>
    <n v="16489000"/>
    <n v="5996000"/>
    <x v="114"/>
  </r>
  <r>
    <x v="4"/>
    <x v="0"/>
    <x v="119"/>
    <n v="3543000"/>
    <n v="2125800"/>
    <n v="1417200"/>
    <x v="115"/>
  </r>
  <r>
    <x v="5"/>
    <x v="0"/>
    <x v="120"/>
    <n v="8973000"/>
    <n v="5383800"/>
    <n v="3589200"/>
    <x v="116"/>
  </r>
  <r>
    <x v="0"/>
    <x v="1"/>
    <x v="121"/>
    <n v="1260000"/>
    <n v="936000"/>
    <n v="324000"/>
    <x v="117"/>
  </r>
  <r>
    <x v="8"/>
    <x v="4"/>
    <x v="122"/>
    <n v="11820000"/>
    <n v="8668000"/>
    <n v="3152000"/>
    <x v="118"/>
  </r>
  <r>
    <x v="1"/>
    <x v="0"/>
    <x v="123"/>
    <n v="1785000"/>
    <n v="1071000"/>
    <n v="714000"/>
    <x v="119"/>
  </r>
  <r>
    <x v="1"/>
    <x v="2"/>
    <x v="124"/>
    <n v="3013200"/>
    <n v="2134350"/>
    <n v="878850"/>
    <x v="120"/>
  </r>
  <r>
    <x v="3"/>
    <x v="6"/>
    <x v="125"/>
    <n v="1500000"/>
    <n v="1260000"/>
    <n v="240000"/>
    <x v="121"/>
  </r>
  <r>
    <x v="0"/>
    <x v="3"/>
    <x v="126"/>
    <n v="969600"/>
    <n v="646400"/>
    <n v="323200"/>
    <x v="122"/>
  </r>
  <r>
    <x v="0"/>
    <x v="3"/>
    <x v="127"/>
    <n v="2224800"/>
    <n v="1483200"/>
    <n v="741600"/>
    <x v="123"/>
  </r>
  <r>
    <x v="1"/>
    <x v="1"/>
    <x v="128"/>
    <n v="4714500"/>
    <n v="3502200"/>
    <n v="1212300"/>
    <x v="124"/>
  </r>
  <r>
    <x v="0"/>
    <x v="4"/>
    <x v="129"/>
    <n v="25215000"/>
    <n v="18491000"/>
    <n v="6724000"/>
    <x v="125"/>
  </r>
  <r>
    <x v="5"/>
    <x v="4"/>
    <x v="130"/>
    <n v="29460000"/>
    <n v="21604000"/>
    <n v="7856000"/>
    <x v="126"/>
  </r>
  <r>
    <x v="6"/>
    <x v="0"/>
    <x v="131"/>
    <n v="2589000"/>
    <n v="1553400"/>
    <n v="1035600"/>
    <x v="127"/>
  </r>
  <r>
    <x v="7"/>
    <x v="5"/>
    <x v="9"/>
    <n v="3510000"/>
    <n v="2964000"/>
    <n v="546000"/>
    <x v="128"/>
  </r>
  <r>
    <x v="4"/>
    <x v="0"/>
    <x v="132"/>
    <n v="3021000"/>
    <n v="1812600"/>
    <n v="1208400"/>
    <x v="129"/>
  </r>
  <r>
    <x v="9"/>
    <x v="6"/>
    <x v="133"/>
    <n v="10410000"/>
    <n v="8744400"/>
    <n v="1665600"/>
    <x v="130"/>
  </r>
  <r>
    <x v="3"/>
    <x v="2"/>
    <x v="134"/>
    <n v="631200"/>
    <n v="447100"/>
    <n v="184100"/>
    <x v="131"/>
  </r>
  <r>
    <x v="6"/>
    <x v="3"/>
    <x v="135"/>
    <n v="440400"/>
    <n v="293600"/>
    <n v="146800"/>
    <x v="132"/>
  </r>
  <r>
    <x v="1"/>
    <x v="0"/>
    <x v="136"/>
    <n v="882000"/>
    <n v="529200"/>
    <n v="352800"/>
    <x v="133"/>
  </r>
  <r>
    <x v="4"/>
    <x v="5"/>
    <x v="137"/>
    <n v="35865000"/>
    <n v="30286000"/>
    <n v="5579000"/>
    <x v="134"/>
  </r>
  <r>
    <x v="0"/>
    <x v="5"/>
    <x v="138"/>
    <n v="33570000"/>
    <n v="28348000"/>
    <n v="5222000"/>
    <x v="135"/>
  </r>
  <r>
    <x v="9"/>
    <x v="0"/>
    <x v="139"/>
    <n v="963000"/>
    <n v="577800"/>
    <n v="385200"/>
    <x v="136"/>
  </r>
  <r>
    <x v="0"/>
    <x v="1"/>
    <x v="140"/>
    <n v="6373500"/>
    <n v="4734600"/>
    <n v="1638900"/>
    <x v="137"/>
  </r>
  <r>
    <x v="8"/>
    <x v="3"/>
    <x v="141"/>
    <n v="1574400"/>
    <n v="1049600"/>
    <n v="524800"/>
    <x v="138"/>
  </r>
  <r>
    <x v="8"/>
    <x v="1"/>
    <x v="142"/>
    <n v="8659000"/>
    <n v="6432400"/>
    <n v="2226600"/>
    <x v="139"/>
  </r>
  <r>
    <x v="9"/>
    <x v="2"/>
    <x v="143"/>
    <n v="378000"/>
    <n v="267750"/>
    <n v="110250"/>
    <x v="140"/>
  </r>
  <r>
    <x v="9"/>
    <x v="5"/>
    <x v="114"/>
    <n v="43650000"/>
    <n v="36860000"/>
    <n v="6790000"/>
    <x v="141"/>
  </r>
  <r>
    <x v="1"/>
    <x v="5"/>
    <x v="144"/>
    <n v="17505000"/>
    <n v="14782000"/>
    <n v="2723000"/>
    <x v="142"/>
  </r>
  <r>
    <x v="9"/>
    <x v="6"/>
    <x v="145"/>
    <n v="2190000"/>
    <n v="1839600"/>
    <n v="350400"/>
    <x v="143"/>
  </r>
  <r>
    <x v="5"/>
    <x v="2"/>
    <x v="146"/>
    <n v="3208800"/>
    <n v="2272900"/>
    <n v="935900"/>
    <x v="144"/>
  </r>
  <r>
    <x v="0"/>
    <x v="5"/>
    <x v="147"/>
    <n v="94500000"/>
    <n v="79800000"/>
    <n v="14700000"/>
    <x v="145"/>
  </r>
  <r>
    <x v="6"/>
    <x v="2"/>
    <x v="148"/>
    <n v="1458000"/>
    <n v="1032750"/>
    <n v="425250"/>
    <x v="146"/>
  </r>
  <r>
    <x v="2"/>
    <x v="3"/>
    <x v="149"/>
    <n v="510000"/>
    <n v="340000"/>
    <n v="170000"/>
    <x v="147"/>
  </r>
  <r>
    <x v="9"/>
    <x v="4"/>
    <x v="150"/>
    <n v="31245000"/>
    <n v="22913000"/>
    <n v="8332000"/>
    <x v="148"/>
  </r>
  <r>
    <x v="3"/>
    <x v="5"/>
    <x v="151"/>
    <n v="108945000"/>
    <n v="91998000"/>
    <n v="16947000"/>
    <x v="98"/>
  </r>
  <r>
    <x v="8"/>
    <x v="6"/>
    <x v="152"/>
    <n v="975000"/>
    <n v="819000"/>
    <n v="156000"/>
    <x v="5"/>
  </r>
  <r>
    <x v="5"/>
    <x v="3"/>
    <x v="153"/>
    <n v="2437200"/>
    <n v="1624800"/>
    <n v="812400"/>
    <x v="149"/>
  </r>
  <r>
    <x v="4"/>
    <x v="0"/>
    <x v="154"/>
    <n v="1026000"/>
    <n v="615600"/>
    <n v="410400"/>
    <x v="150"/>
  </r>
  <r>
    <x v="2"/>
    <x v="2"/>
    <x v="155"/>
    <n v="577200"/>
    <n v="408850"/>
    <n v="168350"/>
    <x v="151"/>
  </r>
  <r>
    <x v="6"/>
    <x v="0"/>
    <x v="156"/>
    <n v="2262000"/>
    <n v="1357200"/>
    <n v="904800"/>
    <x v="152"/>
  </r>
  <r>
    <x v="2"/>
    <x v="1"/>
    <x v="157"/>
    <n v="7168000"/>
    <n v="5324800"/>
    <n v="1843200"/>
    <x v="153"/>
  </r>
  <r>
    <x v="9"/>
    <x v="3"/>
    <x v="158"/>
    <n v="3218400"/>
    <n v="2145600"/>
    <n v="1072800"/>
    <x v="142"/>
  </r>
  <r>
    <x v="1"/>
    <x v="0"/>
    <x v="159"/>
    <n v="1344000"/>
    <n v="806400"/>
    <n v="537600"/>
    <x v="154"/>
  </r>
  <r>
    <x v="8"/>
    <x v="5"/>
    <x v="59"/>
    <n v="131130000"/>
    <n v="110732000"/>
    <n v="20398000"/>
    <x v="155"/>
  </r>
  <r>
    <x v="8"/>
    <x v="2"/>
    <x v="160"/>
    <n v="1215600"/>
    <n v="861050"/>
    <n v="354550"/>
    <x v="36"/>
  </r>
  <r>
    <x v="4"/>
    <x v="4"/>
    <x v="161"/>
    <n v="34260000"/>
    <n v="25124000"/>
    <n v="9136000"/>
    <x v="156"/>
  </r>
  <r>
    <x v="1"/>
    <x v="3"/>
    <x v="162"/>
    <n v="2509200"/>
    <n v="1672800"/>
    <n v="836400"/>
    <x v="157"/>
  </r>
  <r>
    <x v="0"/>
    <x v="5"/>
    <x v="163"/>
    <n v="84510000"/>
    <n v="71364000"/>
    <n v="13146000"/>
    <x v="158"/>
  </r>
  <r>
    <x v="7"/>
    <x v="6"/>
    <x v="164"/>
    <n v="10790000"/>
    <n v="9063600"/>
    <n v="1726400"/>
    <x v="159"/>
  </r>
  <r>
    <x v="5"/>
    <x v="1"/>
    <x v="44"/>
    <n v="3458000"/>
    <n v="2568800"/>
    <n v="889200"/>
    <x v="160"/>
  </r>
  <r>
    <x v="8"/>
    <x v="2"/>
    <x v="71"/>
    <n v="910800"/>
    <n v="645150"/>
    <n v="265650"/>
    <x v="161"/>
  </r>
  <r>
    <x v="3"/>
    <x v="3"/>
    <x v="165"/>
    <n v="1027200"/>
    <n v="684800"/>
    <n v="342400"/>
    <x v="162"/>
  </r>
  <r>
    <x v="8"/>
    <x v="3"/>
    <x v="166"/>
    <n v="1815600"/>
    <n v="1210400"/>
    <n v="605200"/>
    <x v="163"/>
  </r>
  <r>
    <x v="2"/>
    <x v="4"/>
    <x v="167"/>
    <n v="20625000"/>
    <n v="15125000"/>
    <n v="5500000"/>
    <x v="164"/>
  </r>
  <r>
    <x v="8"/>
    <x v="4"/>
    <x v="168"/>
    <n v="900000"/>
    <n v="660000"/>
    <n v="240000"/>
    <x v="165"/>
  </r>
  <r>
    <x v="8"/>
    <x v="6"/>
    <x v="169"/>
    <n v="5675000"/>
    <n v="4767000"/>
    <n v="908000"/>
    <x v="166"/>
  </r>
  <r>
    <x v="7"/>
    <x v="1"/>
    <x v="170"/>
    <n v="6713000"/>
    <n v="4986800"/>
    <n v="1726200"/>
    <x v="167"/>
  </r>
  <r>
    <x v="7"/>
    <x v="6"/>
    <x v="171"/>
    <n v="11615000"/>
    <n v="9756600"/>
    <n v="1858400"/>
    <x v="138"/>
  </r>
  <r>
    <x v="6"/>
    <x v="5"/>
    <x v="172"/>
    <n v="119745000"/>
    <n v="101118000"/>
    <n v="18627000"/>
    <x v="168"/>
  </r>
  <r>
    <x v="0"/>
    <x v="5"/>
    <x v="173"/>
    <n v="36945000"/>
    <n v="31198000"/>
    <n v="5747000"/>
    <x v="169"/>
  </r>
  <r>
    <x v="3"/>
    <x v="6"/>
    <x v="174"/>
    <n v="8220000"/>
    <n v="6904800"/>
    <n v="1315200"/>
    <x v="170"/>
  </r>
  <r>
    <x v="8"/>
    <x v="1"/>
    <x v="175"/>
    <n v="5799500"/>
    <n v="4308200"/>
    <n v="1491300"/>
    <x v="128"/>
  </r>
  <r>
    <x v="8"/>
    <x v="6"/>
    <x v="19"/>
    <n v="6915000"/>
    <n v="5808600"/>
    <n v="1106400"/>
    <x v="171"/>
  </r>
  <r>
    <x v="5"/>
    <x v="1"/>
    <x v="176"/>
    <n v="3269000"/>
    <n v="2428400"/>
    <n v="840600"/>
    <x v="172"/>
  </r>
  <r>
    <x v="7"/>
    <x v="1"/>
    <x v="177"/>
    <n v="5036500"/>
    <n v="3741400"/>
    <n v="1295100"/>
    <x v="173"/>
  </r>
  <r>
    <x v="3"/>
    <x v="0"/>
    <x v="178"/>
    <n v="825000"/>
    <n v="495000"/>
    <n v="330000"/>
    <x v="1"/>
  </r>
  <r>
    <x v="4"/>
    <x v="2"/>
    <x v="179"/>
    <n v="1048800"/>
    <n v="742900"/>
    <n v="305900"/>
    <x v="174"/>
  </r>
  <r>
    <x v="6"/>
    <x v="1"/>
    <x v="180"/>
    <n v="8102500"/>
    <n v="6019000"/>
    <n v="2083500"/>
    <x v="175"/>
  </r>
  <r>
    <x v="0"/>
    <x v="4"/>
    <x v="181"/>
    <n v="14790000"/>
    <n v="10846000"/>
    <n v="3944000"/>
    <x v="176"/>
  </r>
  <r>
    <x v="1"/>
    <x v="1"/>
    <x v="182"/>
    <n v="9975000"/>
    <n v="7410000"/>
    <n v="2565000"/>
    <x v="85"/>
  </r>
  <r>
    <x v="0"/>
    <x v="1"/>
    <x v="183"/>
    <n v="9110500"/>
    <n v="6767800"/>
    <n v="2342700"/>
    <x v="177"/>
  </r>
  <r>
    <x v="2"/>
    <x v="1"/>
    <x v="184"/>
    <n v="8246000"/>
    <n v="6125600"/>
    <n v="2120400"/>
    <x v="178"/>
  </r>
  <r>
    <x v="8"/>
    <x v="0"/>
    <x v="185"/>
    <n v="5883000"/>
    <n v="3529800"/>
    <n v="2353200"/>
    <x v="179"/>
  </r>
  <r>
    <x v="6"/>
    <x v="0"/>
    <x v="186"/>
    <n v="5538000"/>
    <n v="3322800"/>
    <n v="2215200"/>
    <x v="180"/>
  </r>
  <r>
    <x v="2"/>
    <x v="5"/>
    <x v="187"/>
    <n v="4635000"/>
    <n v="3914000"/>
    <n v="721000"/>
    <x v="181"/>
  </r>
  <r>
    <x v="3"/>
    <x v="0"/>
    <x v="93"/>
    <n v="2328000"/>
    <n v="1396800"/>
    <n v="931200"/>
    <x v="182"/>
  </r>
  <r>
    <x v="1"/>
    <x v="4"/>
    <x v="188"/>
    <n v="41790000"/>
    <n v="30646000"/>
    <n v="11144000"/>
    <x v="183"/>
  </r>
  <r>
    <x v="7"/>
    <x v="4"/>
    <x v="189"/>
    <n v="23910000"/>
    <n v="17534000"/>
    <n v="6376000"/>
    <x v="184"/>
  </r>
  <r>
    <x v="6"/>
    <x v="0"/>
    <x v="190"/>
    <n v="3279000"/>
    <n v="1967400"/>
    <n v="1311600"/>
    <x v="185"/>
  </r>
  <r>
    <x v="6"/>
    <x v="6"/>
    <x v="191"/>
    <n v="9815000"/>
    <n v="8244600"/>
    <n v="1570400"/>
    <x v="186"/>
  </r>
  <r>
    <x v="8"/>
    <x v="2"/>
    <x v="192"/>
    <n v="2191200"/>
    <n v="1552100"/>
    <n v="639100"/>
    <x v="187"/>
  </r>
  <r>
    <x v="9"/>
    <x v="0"/>
    <x v="193"/>
    <n v="4938000"/>
    <n v="2962800"/>
    <n v="1975200"/>
    <x v="63"/>
  </r>
  <r>
    <x v="6"/>
    <x v="1"/>
    <x v="130"/>
    <n v="6874000"/>
    <n v="5106400"/>
    <n v="1767600"/>
    <x v="188"/>
  </r>
  <r>
    <x v="5"/>
    <x v="3"/>
    <x v="194"/>
    <n v="3019200"/>
    <n v="2012800"/>
    <n v="1006400"/>
    <x v="189"/>
  </r>
  <r>
    <x v="1"/>
    <x v="2"/>
    <x v="195"/>
    <n v="3344400"/>
    <n v="2368950"/>
    <n v="975450"/>
    <x v="160"/>
  </r>
  <r>
    <x v="1"/>
    <x v="2"/>
    <x v="196"/>
    <n v="1078800"/>
    <n v="764150"/>
    <n v="314650"/>
    <x v="190"/>
  </r>
  <r>
    <x v="5"/>
    <x v="4"/>
    <x v="197"/>
    <n v="32385000"/>
    <n v="23749000"/>
    <n v="8636000"/>
    <x v="191"/>
  </r>
  <r>
    <x v="4"/>
    <x v="2"/>
    <x v="198"/>
    <n v="2775600"/>
    <n v="1966050"/>
    <n v="809550"/>
    <x v="192"/>
  </r>
  <r>
    <x v="5"/>
    <x v="0"/>
    <x v="199"/>
    <n v="156000"/>
    <n v="93600"/>
    <n v="62400"/>
    <x v="193"/>
  </r>
  <r>
    <x v="5"/>
    <x v="1"/>
    <x v="200"/>
    <n v="731500"/>
    <n v="543400"/>
    <n v="188100"/>
    <x v="194"/>
  </r>
  <r>
    <x v="1"/>
    <x v="1"/>
    <x v="201"/>
    <n v="2905000"/>
    <n v="2158000"/>
    <n v="747000"/>
    <x v="195"/>
  </r>
  <r>
    <x v="0"/>
    <x v="5"/>
    <x v="202"/>
    <n v="42390000"/>
    <n v="35796000"/>
    <n v="6594000"/>
    <x v="196"/>
  </r>
  <r>
    <x v="1"/>
    <x v="1"/>
    <x v="203"/>
    <n v="7280000"/>
    <n v="5408000"/>
    <n v="1872000"/>
    <x v="197"/>
  </r>
  <r>
    <x v="9"/>
    <x v="1"/>
    <x v="204"/>
    <n v="8491000"/>
    <n v="6307600"/>
    <n v="2183400"/>
    <x v="135"/>
  </r>
  <r>
    <x v="8"/>
    <x v="4"/>
    <x v="205"/>
    <n v="9435000"/>
    <n v="6919000"/>
    <n v="2516000"/>
    <x v="198"/>
  </r>
  <r>
    <x v="2"/>
    <x v="1"/>
    <x v="206"/>
    <n v="6940500"/>
    <n v="5155800"/>
    <n v="1784700"/>
    <x v="3"/>
  </r>
  <r>
    <x v="0"/>
    <x v="5"/>
    <x v="207"/>
    <n v="64350000"/>
    <n v="54340000"/>
    <n v="10010000"/>
    <x v="199"/>
  </r>
  <r>
    <x v="7"/>
    <x v="3"/>
    <x v="208"/>
    <n v="1608000"/>
    <n v="1072000"/>
    <n v="536000"/>
    <x v="14"/>
  </r>
  <r>
    <x v="2"/>
    <x v="0"/>
    <x v="209"/>
    <n v="5070000"/>
    <n v="3042000"/>
    <n v="2028000"/>
    <x v="200"/>
  </r>
  <r>
    <x v="8"/>
    <x v="4"/>
    <x v="210"/>
    <n v="15015000"/>
    <n v="11011000"/>
    <n v="4004000"/>
    <x v="138"/>
  </r>
  <r>
    <x v="9"/>
    <x v="3"/>
    <x v="211"/>
    <n v="3278400"/>
    <n v="2185600"/>
    <n v="1092800"/>
    <x v="201"/>
  </r>
  <r>
    <x v="9"/>
    <x v="4"/>
    <x v="212"/>
    <n v="15555000"/>
    <n v="11407000"/>
    <n v="4148000"/>
    <x v="133"/>
  </r>
  <r>
    <x v="7"/>
    <x v="6"/>
    <x v="213"/>
    <n v="6340000"/>
    <n v="5325600"/>
    <n v="1014400"/>
    <x v="202"/>
  </r>
  <r>
    <x v="0"/>
    <x v="2"/>
    <x v="114"/>
    <n v="1164000"/>
    <n v="824500"/>
    <n v="339500"/>
    <x v="203"/>
  </r>
  <r>
    <x v="4"/>
    <x v="6"/>
    <x v="214"/>
    <n v="14175000"/>
    <n v="11907000"/>
    <n v="2268000"/>
    <x v="1"/>
  </r>
  <r>
    <x v="5"/>
    <x v="1"/>
    <x v="215"/>
    <n v="4917500"/>
    <n v="3653000"/>
    <n v="1264500"/>
    <x v="204"/>
  </r>
  <r>
    <x v="0"/>
    <x v="3"/>
    <x v="216"/>
    <n v="262800"/>
    <n v="175200"/>
    <n v="87600"/>
    <x v="190"/>
  </r>
  <r>
    <x v="4"/>
    <x v="1"/>
    <x v="217"/>
    <n v="1995000"/>
    <n v="1482000"/>
    <n v="513000"/>
    <x v="34"/>
  </r>
  <r>
    <x v="9"/>
    <x v="2"/>
    <x v="218"/>
    <n v="1843200"/>
    <n v="1305600"/>
    <n v="537600"/>
    <x v="166"/>
  </r>
  <r>
    <x v="1"/>
    <x v="4"/>
    <x v="219"/>
    <n v="1335000"/>
    <n v="979000"/>
    <n v="356000"/>
    <x v="205"/>
  </r>
  <r>
    <x v="8"/>
    <x v="2"/>
    <x v="220"/>
    <n v="1932000"/>
    <n v="1368500"/>
    <n v="563500"/>
    <x v="206"/>
  </r>
  <r>
    <x v="7"/>
    <x v="5"/>
    <x v="221"/>
    <n v="66060000"/>
    <n v="55784000"/>
    <n v="10276000"/>
    <x v="55"/>
  </r>
  <r>
    <x v="8"/>
    <x v="2"/>
    <x v="222"/>
    <n v="1204800"/>
    <n v="853400"/>
    <n v="351400"/>
    <x v="155"/>
  </r>
  <r>
    <x v="3"/>
    <x v="5"/>
    <x v="223"/>
    <n v="46485000"/>
    <n v="39254000"/>
    <n v="7231000"/>
    <x v="207"/>
  </r>
  <r>
    <x v="3"/>
    <x v="2"/>
    <x v="224"/>
    <n v="1228800"/>
    <n v="870400"/>
    <n v="358400"/>
    <x v="208"/>
  </r>
  <r>
    <x v="0"/>
    <x v="0"/>
    <x v="225"/>
    <n v="261000"/>
    <n v="156600"/>
    <n v="104400"/>
    <x v="209"/>
  </r>
  <r>
    <x v="9"/>
    <x v="5"/>
    <x v="226"/>
    <n v="109125000"/>
    <n v="92150000"/>
    <n v="16975000"/>
    <x v="210"/>
  </r>
  <r>
    <x v="9"/>
    <x v="3"/>
    <x v="227"/>
    <n v="1588800"/>
    <n v="1059200"/>
    <n v="529600"/>
    <x v="211"/>
  </r>
  <r>
    <x v="5"/>
    <x v="1"/>
    <x v="228"/>
    <n v="4371500"/>
    <n v="3247400"/>
    <n v="1124100"/>
    <x v="212"/>
  </r>
  <r>
    <x v="5"/>
    <x v="1"/>
    <x v="229"/>
    <n v="5862500"/>
    <n v="4355000"/>
    <n v="1507500"/>
    <x v="213"/>
  </r>
  <r>
    <x v="5"/>
    <x v="6"/>
    <x v="230"/>
    <n v="4815000"/>
    <n v="4044600"/>
    <n v="770400"/>
    <x v="150"/>
  </r>
  <r>
    <x v="1"/>
    <x v="1"/>
    <x v="231"/>
    <n v="1760500"/>
    <n v="1307800"/>
    <n v="452700"/>
    <x v="71"/>
  </r>
  <r>
    <x v="2"/>
    <x v="4"/>
    <x v="232"/>
    <n v="1290000"/>
    <n v="946000"/>
    <n v="344000"/>
    <x v="214"/>
  </r>
  <r>
    <x v="6"/>
    <x v="0"/>
    <x v="233"/>
    <n v="5283000"/>
    <n v="3169800"/>
    <n v="2113200"/>
    <x v="112"/>
  </r>
  <r>
    <x v="2"/>
    <x v="2"/>
    <x v="234"/>
    <n v="1014000"/>
    <n v="718250"/>
    <n v="295750"/>
    <x v="215"/>
  </r>
  <r>
    <x v="8"/>
    <x v="6"/>
    <x v="235"/>
    <n v="5110000"/>
    <n v="4292400"/>
    <n v="817600"/>
    <x v="216"/>
  </r>
  <r>
    <x v="2"/>
    <x v="4"/>
    <x v="236"/>
    <n v="9630000"/>
    <n v="7062000"/>
    <n v="2568000"/>
    <x v="217"/>
  </r>
  <r>
    <x v="1"/>
    <x v="4"/>
    <x v="237"/>
    <n v="17805000"/>
    <n v="13057000"/>
    <n v="4748000"/>
    <x v="72"/>
  </r>
  <r>
    <x v="8"/>
    <x v="5"/>
    <x v="238"/>
    <n v="61830000"/>
    <n v="52212000"/>
    <n v="9618000"/>
    <x v="218"/>
  </r>
  <r>
    <x v="2"/>
    <x v="1"/>
    <x v="239"/>
    <n v="8123500"/>
    <n v="6034600"/>
    <n v="2088900"/>
    <x v="29"/>
  </r>
  <r>
    <x v="1"/>
    <x v="3"/>
    <x v="135"/>
    <n v="440400"/>
    <n v="293600"/>
    <n v="146800"/>
    <x v="219"/>
  </r>
  <r>
    <x v="6"/>
    <x v="3"/>
    <x v="240"/>
    <n v="2935200"/>
    <n v="1956800"/>
    <n v="978400"/>
    <x v="220"/>
  </r>
  <r>
    <x v="2"/>
    <x v="6"/>
    <x v="241"/>
    <n v="11060000"/>
    <n v="9290400"/>
    <n v="1769600"/>
    <x v="221"/>
  </r>
  <r>
    <x v="1"/>
    <x v="0"/>
    <x v="242"/>
    <n v="8385000"/>
    <n v="5031000"/>
    <n v="3354000"/>
    <x v="70"/>
  </r>
  <r>
    <x v="5"/>
    <x v="3"/>
    <x v="243"/>
    <n v="1675200"/>
    <n v="1116800"/>
    <n v="558400"/>
    <x v="29"/>
  </r>
  <r>
    <x v="9"/>
    <x v="2"/>
    <x v="244"/>
    <n v="1969200"/>
    <n v="1394850"/>
    <n v="574350"/>
    <x v="222"/>
  </r>
  <r>
    <x v="5"/>
    <x v="3"/>
    <x v="245"/>
    <n v="2326800"/>
    <n v="1551200"/>
    <n v="775600"/>
    <x v="164"/>
  </r>
  <r>
    <x v="9"/>
    <x v="6"/>
    <x v="246"/>
    <n v="10685000"/>
    <n v="8975400"/>
    <n v="1709600"/>
    <x v="223"/>
  </r>
  <r>
    <x v="7"/>
    <x v="3"/>
    <x v="247"/>
    <n v="2455200"/>
    <n v="1636800"/>
    <n v="818400"/>
    <x v="124"/>
  </r>
  <r>
    <x v="7"/>
    <x v="2"/>
    <x v="248"/>
    <n v="2186400"/>
    <n v="1548700"/>
    <n v="637700"/>
    <x v="224"/>
  </r>
  <r>
    <x v="7"/>
    <x v="5"/>
    <x v="27"/>
    <n v="61290000"/>
    <n v="51756000"/>
    <n v="9534000"/>
    <x v="225"/>
  </r>
  <r>
    <x v="6"/>
    <x v="0"/>
    <x v="249"/>
    <n v="4005000"/>
    <n v="2403000"/>
    <n v="1602000"/>
    <x v="226"/>
  </r>
  <r>
    <x v="5"/>
    <x v="6"/>
    <x v="64"/>
    <n v="1325000"/>
    <n v="1113000"/>
    <n v="212000"/>
    <x v="35"/>
  </r>
  <r>
    <x v="9"/>
    <x v="5"/>
    <x v="250"/>
    <n v="109485000"/>
    <n v="92454000"/>
    <n v="17031000"/>
    <x v="227"/>
  </r>
  <r>
    <x v="1"/>
    <x v="5"/>
    <x v="251"/>
    <n v="98505000"/>
    <n v="83182000"/>
    <n v="15323000"/>
    <x v="80"/>
  </r>
  <r>
    <x v="8"/>
    <x v="5"/>
    <x v="252"/>
    <n v="110250000"/>
    <n v="93100000"/>
    <n v="17150000"/>
    <x v="228"/>
  </r>
  <r>
    <x v="1"/>
    <x v="4"/>
    <x v="253"/>
    <n v="40020000"/>
    <n v="29348000"/>
    <n v="10672000"/>
    <x v="180"/>
  </r>
  <r>
    <x v="8"/>
    <x v="0"/>
    <x v="254"/>
    <n v="8739000"/>
    <n v="5243400"/>
    <n v="3495600"/>
    <x v="229"/>
  </r>
  <r>
    <x v="3"/>
    <x v="1"/>
    <x v="255"/>
    <n v="6139000"/>
    <n v="4560400"/>
    <n v="1578600"/>
    <x v="230"/>
  </r>
  <r>
    <x v="1"/>
    <x v="0"/>
    <x v="256"/>
    <n v="8634000"/>
    <n v="5180400"/>
    <n v="3453600"/>
    <x v="231"/>
  </r>
  <r>
    <x v="2"/>
    <x v="4"/>
    <x v="257"/>
    <n v="6180000"/>
    <n v="4532000"/>
    <n v="1648000"/>
    <x v="232"/>
  </r>
  <r>
    <x v="2"/>
    <x v="1"/>
    <x v="258"/>
    <n v="9289000"/>
    <n v="6900400"/>
    <n v="2388600"/>
    <x v="233"/>
  </r>
  <r>
    <x v="0"/>
    <x v="0"/>
    <x v="259"/>
    <n v="5298000"/>
    <n v="3178800"/>
    <n v="2119200"/>
    <x v="234"/>
  </r>
  <r>
    <x v="5"/>
    <x v="5"/>
    <x v="260"/>
    <n v="55935000"/>
    <n v="47234000"/>
    <n v="8701000"/>
    <x v="235"/>
  </r>
  <r>
    <x v="8"/>
    <x v="6"/>
    <x v="261"/>
    <n v="2025000"/>
    <n v="1701000"/>
    <n v="324000"/>
    <x v="236"/>
  </r>
  <r>
    <x v="8"/>
    <x v="1"/>
    <x v="262"/>
    <n v="840000"/>
    <n v="624000"/>
    <n v="216000"/>
    <x v="59"/>
  </r>
  <r>
    <x v="5"/>
    <x v="2"/>
    <x v="263"/>
    <n v="3022800"/>
    <n v="2141150"/>
    <n v="881650"/>
    <x v="237"/>
  </r>
  <r>
    <x v="6"/>
    <x v="2"/>
    <x v="264"/>
    <n v="898800"/>
    <n v="636650"/>
    <n v="262150"/>
    <x v="116"/>
  </r>
  <r>
    <x v="0"/>
    <x v="3"/>
    <x v="265"/>
    <n v="2524800"/>
    <n v="1683200"/>
    <n v="841600"/>
    <x v="238"/>
  </r>
  <r>
    <x v="6"/>
    <x v="1"/>
    <x v="266"/>
    <n v="7805000"/>
    <n v="5798000"/>
    <n v="2007000"/>
    <x v="239"/>
  </r>
  <r>
    <x v="6"/>
    <x v="6"/>
    <x v="267"/>
    <n v="3030000"/>
    <n v="2545200"/>
    <n v="484800"/>
    <x v="172"/>
  </r>
  <r>
    <x v="6"/>
    <x v="4"/>
    <x v="268"/>
    <n v="13125000"/>
    <n v="9625000"/>
    <n v="3500000"/>
    <x v="240"/>
  </r>
  <r>
    <x v="5"/>
    <x v="5"/>
    <x v="269"/>
    <n v="128610000"/>
    <n v="108604000"/>
    <n v="20006000"/>
    <x v="241"/>
  </r>
  <r>
    <x v="6"/>
    <x v="3"/>
    <x v="270"/>
    <n v="1324800"/>
    <n v="883200"/>
    <n v="441600"/>
    <x v="8"/>
  </r>
  <r>
    <x v="2"/>
    <x v="2"/>
    <x v="271"/>
    <n v="3158400"/>
    <n v="2237200"/>
    <n v="921200"/>
    <x v="242"/>
  </r>
  <r>
    <x v="7"/>
    <x v="4"/>
    <x v="272"/>
    <n v="7125000"/>
    <n v="5225000"/>
    <n v="1900000"/>
    <x v="243"/>
  </r>
  <r>
    <x v="3"/>
    <x v="4"/>
    <x v="273"/>
    <n v="41535000"/>
    <n v="30459000"/>
    <n v="11076000"/>
    <x v="244"/>
  </r>
  <r>
    <x v="8"/>
    <x v="5"/>
    <x v="274"/>
    <n v="110700000"/>
    <n v="93480000"/>
    <n v="17220000"/>
    <x v="245"/>
  </r>
  <r>
    <x v="8"/>
    <x v="1"/>
    <x v="275"/>
    <n v="5684000"/>
    <n v="4222400"/>
    <n v="1461600"/>
    <x v="246"/>
  </r>
  <r>
    <x v="3"/>
    <x v="2"/>
    <x v="276"/>
    <n v="2614800"/>
    <n v="1852150"/>
    <n v="762650"/>
    <x v="247"/>
  </r>
  <r>
    <x v="5"/>
    <x v="6"/>
    <x v="277"/>
    <n v="12265000"/>
    <n v="10302600"/>
    <n v="1962400"/>
    <x v="248"/>
  </r>
  <r>
    <x v="1"/>
    <x v="4"/>
    <x v="278"/>
    <n v="9570000"/>
    <n v="7018000"/>
    <n v="2552000"/>
    <x v="160"/>
  </r>
  <r>
    <x v="5"/>
    <x v="5"/>
    <x v="279"/>
    <n v="92790000"/>
    <n v="78356000"/>
    <n v="14434000"/>
    <x v="249"/>
  </r>
  <r>
    <x v="8"/>
    <x v="6"/>
    <x v="280"/>
    <n v="7985000"/>
    <n v="6707400"/>
    <n v="1277600"/>
    <x v="250"/>
  </r>
  <r>
    <x v="8"/>
    <x v="1"/>
    <x v="281"/>
    <n v="1204000"/>
    <n v="894400"/>
    <n v="309600"/>
    <x v="139"/>
  </r>
  <r>
    <x v="3"/>
    <x v="2"/>
    <x v="282"/>
    <n v="2442000"/>
    <n v="1729750"/>
    <n v="712250"/>
    <x v="251"/>
  </r>
  <r>
    <x v="6"/>
    <x v="1"/>
    <x v="283"/>
    <n v="4539500"/>
    <n v="3372200"/>
    <n v="1167300"/>
    <x v="252"/>
  </r>
  <r>
    <x v="5"/>
    <x v="4"/>
    <x v="284"/>
    <n v="23970000"/>
    <n v="17578000"/>
    <n v="6392000"/>
    <x v="253"/>
  </r>
  <r>
    <x v="9"/>
    <x v="6"/>
    <x v="285"/>
    <n v="8700000"/>
    <n v="7308000"/>
    <n v="1392000"/>
    <x v="254"/>
  </r>
  <r>
    <x v="3"/>
    <x v="6"/>
    <x v="14"/>
    <n v="5930000"/>
    <n v="4981200"/>
    <n v="948800"/>
    <x v="255"/>
  </r>
  <r>
    <x v="2"/>
    <x v="6"/>
    <x v="286"/>
    <n v="6530000"/>
    <n v="5485200"/>
    <n v="1044800"/>
    <x v="256"/>
  </r>
  <r>
    <x v="8"/>
    <x v="4"/>
    <x v="287"/>
    <n v="31710000"/>
    <n v="23254000"/>
    <n v="8456000"/>
    <x v="256"/>
  </r>
  <r>
    <x v="3"/>
    <x v="4"/>
    <x v="288"/>
    <n v="6135000"/>
    <n v="4499000"/>
    <n v="1636000"/>
    <x v="257"/>
  </r>
  <r>
    <x v="5"/>
    <x v="1"/>
    <x v="55"/>
    <n v="10370500"/>
    <n v="7703800"/>
    <n v="2666700"/>
    <x v="258"/>
  </r>
  <r>
    <x v="8"/>
    <x v="3"/>
    <x v="264"/>
    <n v="898800"/>
    <n v="599200"/>
    <n v="299600"/>
    <x v="259"/>
  </r>
  <r>
    <x v="1"/>
    <x v="1"/>
    <x v="289"/>
    <n v="1739500"/>
    <n v="1292200"/>
    <n v="447300"/>
    <x v="260"/>
  </r>
  <r>
    <x v="3"/>
    <x v="2"/>
    <x v="290"/>
    <n v="3543600"/>
    <n v="2510050"/>
    <n v="1033550"/>
    <x v="261"/>
  </r>
  <r>
    <x v="0"/>
    <x v="5"/>
    <x v="291"/>
    <n v="110790000"/>
    <n v="93556000"/>
    <n v="17234000"/>
    <x v="124"/>
  </r>
  <r>
    <x v="8"/>
    <x v="6"/>
    <x v="292"/>
    <n v="3620000"/>
    <n v="3040800"/>
    <n v="579200"/>
    <x v="262"/>
  </r>
  <r>
    <x v="5"/>
    <x v="3"/>
    <x v="293"/>
    <n v="1268400"/>
    <n v="845600"/>
    <n v="422800"/>
    <x v="263"/>
  </r>
  <r>
    <x v="7"/>
    <x v="5"/>
    <x v="294"/>
    <n v="62955000"/>
    <n v="53162000"/>
    <n v="9793000"/>
    <x v="230"/>
  </r>
  <r>
    <x v="9"/>
    <x v="3"/>
    <x v="295"/>
    <n v="3076800"/>
    <n v="2051200"/>
    <n v="1025600"/>
    <x v="264"/>
  </r>
  <r>
    <x v="4"/>
    <x v="0"/>
    <x v="124"/>
    <n v="7533000"/>
    <n v="4519800"/>
    <n v="3013200"/>
    <x v="30"/>
  </r>
  <r>
    <x v="6"/>
    <x v="1"/>
    <x v="296"/>
    <n v="2222500"/>
    <n v="1651000"/>
    <n v="571500"/>
    <x v="265"/>
  </r>
  <r>
    <x v="4"/>
    <x v="4"/>
    <x v="286"/>
    <n v="19590000"/>
    <n v="14366000"/>
    <n v="5224000"/>
    <x v="266"/>
  </r>
  <r>
    <x v="5"/>
    <x v="6"/>
    <x v="283"/>
    <n v="6485000"/>
    <n v="5447400"/>
    <n v="1037600"/>
    <x v="267"/>
  </r>
  <r>
    <x v="2"/>
    <x v="1"/>
    <x v="297"/>
    <n v="3650500"/>
    <n v="2711800"/>
    <n v="938700"/>
    <x v="268"/>
  </r>
  <r>
    <x v="2"/>
    <x v="5"/>
    <x v="298"/>
    <n v="66825000"/>
    <n v="56430000"/>
    <n v="10395000"/>
    <x v="269"/>
  </r>
  <r>
    <x v="7"/>
    <x v="0"/>
    <x v="299"/>
    <n v="1863000"/>
    <n v="1117800"/>
    <n v="745200"/>
    <x v="270"/>
  </r>
  <r>
    <x v="6"/>
    <x v="0"/>
    <x v="300"/>
    <n v="7296000"/>
    <n v="4377600"/>
    <n v="2918400"/>
    <x v="127"/>
  </r>
  <r>
    <x v="0"/>
    <x v="0"/>
    <x v="301"/>
    <n v="3885000"/>
    <n v="2331000"/>
    <n v="1554000"/>
    <x v="132"/>
  </r>
  <r>
    <x v="7"/>
    <x v="5"/>
    <x v="302"/>
    <n v="96030000"/>
    <n v="81092000"/>
    <n v="14938000"/>
    <x v="271"/>
  </r>
  <r>
    <x v="4"/>
    <x v="5"/>
    <x v="303"/>
    <n v="46710000"/>
    <n v="39444000"/>
    <n v="7266000"/>
    <x v="272"/>
  </r>
  <r>
    <x v="7"/>
    <x v="5"/>
    <x v="304"/>
    <n v="14715000"/>
    <n v="12426000"/>
    <n v="2289000"/>
    <x v="273"/>
  </r>
  <r>
    <x v="4"/>
    <x v="5"/>
    <x v="305"/>
    <n v="57105000"/>
    <n v="48222000"/>
    <n v="8883000"/>
    <x v="274"/>
  </r>
  <r>
    <x v="8"/>
    <x v="0"/>
    <x v="306"/>
    <n v="5811000"/>
    <n v="3486600"/>
    <n v="2324400"/>
    <x v="121"/>
  </r>
  <r>
    <x v="2"/>
    <x v="0"/>
    <x v="307"/>
    <n v="1599000"/>
    <n v="959400"/>
    <n v="639600"/>
    <x v="275"/>
  </r>
  <r>
    <x v="8"/>
    <x v="3"/>
    <x v="308"/>
    <n v="1578000"/>
    <n v="1052000"/>
    <n v="526000"/>
    <x v="276"/>
  </r>
  <r>
    <x v="9"/>
    <x v="1"/>
    <x v="309"/>
    <n v="2730000"/>
    <n v="2028000"/>
    <n v="702000"/>
    <x v="277"/>
  </r>
  <r>
    <x v="6"/>
    <x v="6"/>
    <x v="310"/>
    <n v="11445000"/>
    <n v="9613800"/>
    <n v="1831200"/>
    <x v="236"/>
  </r>
  <r>
    <x v="0"/>
    <x v="4"/>
    <x v="40"/>
    <n v="16350000"/>
    <n v="11990000"/>
    <n v="4360000"/>
    <x v="219"/>
  </r>
  <r>
    <x v="4"/>
    <x v="0"/>
    <x v="56"/>
    <n v="7863000"/>
    <n v="4717800"/>
    <n v="3145200"/>
    <x v="278"/>
  </r>
  <r>
    <x v="0"/>
    <x v="4"/>
    <x v="311"/>
    <n v="14505000"/>
    <n v="10637000"/>
    <n v="3868000"/>
    <x v="279"/>
  </r>
  <r>
    <x v="4"/>
    <x v="1"/>
    <x v="312"/>
    <n v="8743000"/>
    <n v="6494800"/>
    <n v="2248200"/>
    <x v="280"/>
  </r>
  <r>
    <x v="5"/>
    <x v="1"/>
    <x v="313"/>
    <n v="3272500"/>
    <n v="2431000"/>
    <n v="841500"/>
    <x v="143"/>
  </r>
  <r>
    <x v="7"/>
    <x v="4"/>
    <x v="314"/>
    <n v="42030000"/>
    <n v="30822000"/>
    <n v="11208000"/>
    <x v="281"/>
  </r>
  <r>
    <x v="9"/>
    <x v="0"/>
    <x v="315"/>
    <n v="213000"/>
    <n v="127800"/>
    <n v="85200"/>
    <x v="282"/>
  </r>
  <r>
    <x v="2"/>
    <x v="4"/>
    <x v="316"/>
    <n v="7845000"/>
    <n v="5753000"/>
    <n v="2092000"/>
    <x v="283"/>
  </r>
  <r>
    <x v="4"/>
    <x v="3"/>
    <x v="317"/>
    <n v="2768400"/>
    <n v="1845600"/>
    <n v="922800"/>
    <x v="284"/>
  </r>
  <r>
    <x v="0"/>
    <x v="2"/>
    <x v="318"/>
    <n v="2883600"/>
    <n v="2042550"/>
    <n v="841050"/>
    <x v="53"/>
  </r>
  <r>
    <x v="9"/>
    <x v="0"/>
    <x v="319"/>
    <n v="2259000"/>
    <n v="1355400"/>
    <n v="903600"/>
    <x v="266"/>
  </r>
  <r>
    <x v="1"/>
    <x v="0"/>
    <x v="320"/>
    <n v="2208000"/>
    <n v="1324800"/>
    <n v="883200"/>
    <x v="285"/>
  </r>
  <r>
    <x v="1"/>
    <x v="6"/>
    <x v="321"/>
    <n v="1670000"/>
    <n v="1402800"/>
    <n v="267200"/>
    <x v="286"/>
  </r>
  <r>
    <x v="8"/>
    <x v="5"/>
    <x v="322"/>
    <n v="34425000"/>
    <n v="29070000"/>
    <n v="5355000"/>
    <x v="209"/>
  </r>
  <r>
    <x v="2"/>
    <x v="2"/>
    <x v="323"/>
    <n v="974400"/>
    <n v="690200"/>
    <n v="284200"/>
    <x v="5"/>
  </r>
  <r>
    <x v="5"/>
    <x v="1"/>
    <x v="18"/>
    <n v="4550000"/>
    <n v="3380000"/>
    <n v="1170000"/>
    <x v="145"/>
  </r>
  <r>
    <x v="0"/>
    <x v="0"/>
    <x v="324"/>
    <n v="2991000"/>
    <n v="1794600"/>
    <n v="1196400"/>
    <x v="66"/>
  </r>
  <r>
    <x v="7"/>
    <x v="4"/>
    <x v="325"/>
    <n v="37170000"/>
    <n v="27258000"/>
    <n v="9912000"/>
    <x v="145"/>
  </r>
  <r>
    <x v="7"/>
    <x v="2"/>
    <x v="326"/>
    <n v="3068400"/>
    <n v="2173450"/>
    <n v="894950"/>
    <x v="26"/>
  </r>
  <r>
    <x v="0"/>
    <x v="6"/>
    <x v="327"/>
    <n v="5400000"/>
    <n v="4536000"/>
    <n v="864000"/>
    <x v="287"/>
  </r>
  <r>
    <x v="6"/>
    <x v="1"/>
    <x v="9"/>
    <n v="273000"/>
    <n v="202800"/>
    <n v="70200"/>
    <x v="288"/>
  </r>
  <r>
    <x v="5"/>
    <x v="5"/>
    <x v="328"/>
    <n v="43020000"/>
    <n v="36328000"/>
    <n v="6692000"/>
    <x v="289"/>
  </r>
  <r>
    <x v="9"/>
    <x v="5"/>
    <x v="329"/>
    <n v="133920000"/>
    <n v="113088000"/>
    <n v="20832000"/>
    <x v="290"/>
  </r>
  <r>
    <x v="4"/>
    <x v="6"/>
    <x v="330"/>
    <n v="10880000"/>
    <n v="9139200"/>
    <n v="1740800"/>
    <x v="291"/>
  </r>
  <r>
    <x v="6"/>
    <x v="6"/>
    <x v="331"/>
    <n v="12780000"/>
    <n v="10735200"/>
    <n v="2044800"/>
    <x v="153"/>
  </r>
  <r>
    <x v="4"/>
    <x v="4"/>
    <x v="332"/>
    <n v="9285000"/>
    <n v="6809000"/>
    <n v="2476000"/>
    <x v="292"/>
  </r>
  <r>
    <x v="4"/>
    <x v="0"/>
    <x v="333"/>
    <n v="6168000"/>
    <n v="3700800"/>
    <n v="2467200"/>
    <x v="293"/>
  </r>
  <r>
    <x v="6"/>
    <x v="5"/>
    <x v="334"/>
    <n v="67635000"/>
    <n v="57114000"/>
    <n v="10521000"/>
    <x v="294"/>
  </r>
  <r>
    <x v="8"/>
    <x v="1"/>
    <x v="335"/>
    <n v="2754500"/>
    <n v="2046200"/>
    <n v="708300"/>
    <x v="295"/>
  </r>
  <r>
    <x v="1"/>
    <x v="2"/>
    <x v="336"/>
    <n v="678000"/>
    <n v="480250"/>
    <n v="197750"/>
    <x v="121"/>
  </r>
  <r>
    <x v="4"/>
    <x v="1"/>
    <x v="337"/>
    <n v="7175000"/>
    <n v="5330000"/>
    <n v="1845000"/>
    <x v="296"/>
  </r>
  <r>
    <x v="6"/>
    <x v="3"/>
    <x v="338"/>
    <n v="2992800"/>
    <n v="1995200"/>
    <n v="997600"/>
    <x v="76"/>
  </r>
  <r>
    <x v="6"/>
    <x v="3"/>
    <x v="111"/>
    <n v="105600"/>
    <n v="70400"/>
    <n v="35200"/>
    <x v="73"/>
  </r>
  <r>
    <x v="3"/>
    <x v="6"/>
    <x v="339"/>
    <n v="4680000"/>
    <n v="3931200"/>
    <n v="748800"/>
    <x v="297"/>
  </r>
  <r>
    <x v="8"/>
    <x v="4"/>
    <x v="340"/>
    <n v="43410000"/>
    <n v="31834000"/>
    <n v="11576000"/>
    <x v="298"/>
  </r>
  <r>
    <x v="2"/>
    <x v="3"/>
    <x v="341"/>
    <n v="2704800"/>
    <n v="1803200"/>
    <n v="901600"/>
    <x v="161"/>
  </r>
  <r>
    <x v="3"/>
    <x v="5"/>
    <x v="342"/>
    <n v="51660000"/>
    <n v="43624000"/>
    <n v="8036000"/>
    <x v="101"/>
  </r>
  <r>
    <x v="3"/>
    <x v="1"/>
    <x v="343"/>
    <n v="10433500"/>
    <n v="7750600"/>
    <n v="2682900"/>
    <x v="299"/>
  </r>
  <r>
    <x v="0"/>
    <x v="1"/>
    <x v="344"/>
    <n v="6555500"/>
    <n v="4869800"/>
    <n v="1685700"/>
    <x v="300"/>
  </r>
  <r>
    <x v="1"/>
    <x v="6"/>
    <x v="345"/>
    <n v="8800000"/>
    <n v="7392000"/>
    <n v="1408000"/>
    <x v="301"/>
  </r>
  <r>
    <x v="6"/>
    <x v="0"/>
    <x v="346"/>
    <n v="3069000"/>
    <n v="1841400"/>
    <n v="1227600"/>
    <x v="156"/>
  </r>
  <r>
    <x v="1"/>
    <x v="0"/>
    <x v="347"/>
    <n v="4836000"/>
    <n v="2901600"/>
    <n v="1934400"/>
    <x v="302"/>
  </r>
  <r>
    <x v="5"/>
    <x v="2"/>
    <x v="348"/>
    <n v="3535200"/>
    <n v="2504100"/>
    <n v="1031100"/>
    <x v="239"/>
  </r>
  <r>
    <x v="0"/>
    <x v="6"/>
    <x v="349"/>
    <n v="14225000"/>
    <n v="11949000"/>
    <n v="2276000"/>
    <x v="122"/>
  </r>
  <r>
    <x v="2"/>
    <x v="2"/>
    <x v="303"/>
    <n v="1245600"/>
    <n v="882300"/>
    <n v="363300"/>
    <x v="303"/>
  </r>
  <r>
    <x v="1"/>
    <x v="0"/>
    <x v="350"/>
    <n v="210000"/>
    <n v="126000"/>
    <n v="84000"/>
    <x v="202"/>
  </r>
  <r>
    <x v="7"/>
    <x v="6"/>
    <x v="351"/>
    <n v="12000000"/>
    <n v="10080000"/>
    <n v="1920000"/>
    <x v="304"/>
  </r>
  <r>
    <x v="4"/>
    <x v="6"/>
    <x v="352"/>
    <n v="4590000"/>
    <n v="3855600"/>
    <n v="734400"/>
    <x v="255"/>
  </r>
  <r>
    <x v="5"/>
    <x v="6"/>
    <x v="353"/>
    <n v="665000"/>
    <n v="558600"/>
    <n v="106400"/>
    <x v="305"/>
  </r>
  <r>
    <x v="8"/>
    <x v="0"/>
    <x v="354"/>
    <n v="5196000"/>
    <n v="3117600"/>
    <n v="2078400"/>
    <x v="306"/>
  </r>
  <r>
    <x v="2"/>
    <x v="2"/>
    <x v="355"/>
    <n v="2431200"/>
    <n v="1722100"/>
    <n v="709100"/>
    <x v="304"/>
  </r>
  <r>
    <x v="5"/>
    <x v="2"/>
    <x v="356"/>
    <n v="1752000"/>
    <n v="1241000"/>
    <n v="511000"/>
    <x v="59"/>
  </r>
  <r>
    <x v="4"/>
    <x v="6"/>
    <x v="357"/>
    <n v="7900000"/>
    <n v="6636000"/>
    <n v="1264000"/>
    <x v="307"/>
  </r>
  <r>
    <x v="0"/>
    <x v="3"/>
    <x v="332"/>
    <n v="742800"/>
    <n v="495200"/>
    <n v="247600"/>
    <x v="114"/>
  </r>
  <r>
    <x v="4"/>
    <x v="4"/>
    <x v="358"/>
    <n v="14745000"/>
    <n v="10813000"/>
    <n v="3932000"/>
    <x v="308"/>
  </r>
  <r>
    <x v="3"/>
    <x v="0"/>
    <x v="359"/>
    <n v="6090000"/>
    <n v="3654000"/>
    <n v="2436000"/>
    <x v="309"/>
  </r>
  <r>
    <x v="4"/>
    <x v="4"/>
    <x v="360"/>
    <n v="28575000"/>
    <n v="20955000"/>
    <n v="7620000"/>
    <x v="310"/>
  </r>
  <r>
    <x v="3"/>
    <x v="4"/>
    <x v="361"/>
    <n v="12630000"/>
    <n v="9262000"/>
    <n v="3368000"/>
    <x v="296"/>
  </r>
  <r>
    <x v="0"/>
    <x v="2"/>
    <x v="362"/>
    <n v="1009200"/>
    <n v="714850"/>
    <n v="294350"/>
    <x v="311"/>
  </r>
  <r>
    <x v="9"/>
    <x v="2"/>
    <x v="363"/>
    <n v="2230800"/>
    <n v="1580150"/>
    <n v="650650"/>
    <x v="312"/>
  </r>
  <r>
    <x v="3"/>
    <x v="3"/>
    <x v="364"/>
    <n v="1612800"/>
    <n v="1075200"/>
    <n v="537600"/>
    <x v="71"/>
  </r>
  <r>
    <x v="8"/>
    <x v="4"/>
    <x v="365"/>
    <n v="38835000"/>
    <n v="28479000"/>
    <n v="10356000"/>
    <x v="313"/>
  </r>
  <r>
    <x v="4"/>
    <x v="4"/>
    <x v="366"/>
    <n v="34575000"/>
    <n v="25355000"/>
    <n v="9220000"/>
    <x v="314"/>
  </r>
  <r>
    <x v="4"/>
    <x v="6"/>
    <x v="175"/>
    <n v="8285000"/>
    <n v="6959400"/>
    <n v="1325600"/>
    <x v="315"/>
  </r>
  <r>
    <x v="8"/>
    <x v="2"/>
    <x v="367"/>
    <n v="1359600"/>
    <n v="963050"/>
    <n v="396550"/>
    <x v="316"/>
  </r>
  <r>
    <x v="7"/>
    <x v="4"/>
    <x v="368"/>
    <n v="37905000"/>
    <n v="27797000"/>
    <n v="10108000"/>
    <x v="317"/>
  </r>
  <r>
    <x v="6"/>
    <x v="1"/>
    <x v="369"/>
    <n v="3619000"/>
    <n v="2688400"/>
    <n v="930600"/>
    <x v="89"/>
  </r>
  <r>
    <x v="9"/>
    <x v="3"/>
    <x v="370"/>
    <n v="2076000"/>
    <n v="1384000"/>
    <n v="692000"/>
    <x v="318"/>
  </r>
  <r>
    <x v="2"/>
    <x v="1"/>
    <x v="371"/>
    <n v="1991500"/>
    <n v="1479400"/>
    <n v="512100"/>
    <x v="319"/>
  </r>
  <r>
    <x v="3"/>
    <x v="1"/>
    <x v="372"/>
    <n v="2240000"/>
    <n v="1664000"/>
    <n v="576000"/>
    <x v="320"/>
  </r>
  <r>
    <x v="8"/>
    <x v="0"/>
    <x v="373"/>
    <n v="3300000"/>
    <n v="1980000"/>
    <n v="1320000"/>
    <x v="321"/>
  </r>
  <r>
    <x v="0"/>
    <x v="0"/>
    <x v="374"/>
    <n v="5277000"/>
    <n v="3166200"/>
    <n v="2110800"/>
    <x v="322"/>
  </r>
  <r>
    <x v="3"/>
    <x v="3"/>
    <x v="375"/>
    <n v="2502000"/>
    <n v="1668000"/>
    <n v="834000"/>
    <x v="137"/>
  </r>
  <r>
    <x v="6"/>
    <x v="1"/>
    <x v="376"/>
    <n v="8036000"/>
    <n v="5969600"/>
    <n v="2066400"/>
    <x v="323"/>
  </r>
  <r>
    <x v="0"/>
    <x v="4"/>
    <x v="377"/>
    <n v="37260000"/>
    <n v="27324000"/>
    <n v="9936000"/>
    <x v="46"/>
  </r>
  <r>
    <x v="5"/>
    <x v="2"/>
    <x v="378"/>
    <n v="477600"/>
    <n v="338300"/>
    <n v="139300"/>
    <x v="324"/>
  </r>
  <r>
    <x v="4"/>
    <x v="3"/>
    <x v="379"/>
    <n v="1210800"/>
    <n v="807200"/>
    <n v="403600"/>
    <x v="325"/>
  </r>
  <r>
    <x v="5"/>
    <x v="6"/>
    <x v="380"/>
    <n v="10065000"/>
    <n v="8454600"/>
    <n v="1610400"/>
    <x v="326"/>
  </r>
  <r>
    <x v="3"/>
    <x v="1"/>
    <x v="6"/>
    <n v="2597000"/>
    <n v="1929200"/>
    <n v="667800"/>
    <x v="327"/>
  </r>
  <r>
    <x v="6"/>
    <x v="3"/>
    <x v="381"/>
    <n v="1930800"/>
    <n v="1287200"/>
    <n v="643600"/>
    <x v="328"/>
  </r>
  <r>
    <x v="9"/>
    <x v="5"/>
    <x v="382"/>
    <n v="19215000"/>
    <n v="16226000"/>
    <n v="2989000"/>
    <x v="329"/>
  </r>
  <r>
    <x v="3"/>
    <x v="5"/>
    <x v="383"/>
    <n v="134820000"/>
    <n v="113848000"/>
    <n v="20972000"/>
    <x v="106"/>
  </r>
  <r>
    <x v="8"/>
    <x v="0"/>
    <x v="384"/>
    <n v="1728000"/>
    <n v="1036800"/>
    <n v="691200"/>
    <x v="330"/>
  </r>
  <r>
    <x v="1"/>
    <x v="2"/>
    <x v="385"/>
    <n v="3397200"/>
    <n v="2406350"/>
    <n v="990850"/>
    <x v="249"/>
  </r>
  <r>
    <x v="3"/>
    <x v="4"/>
    <x v="386"/>
    <n v="34545000"/>
    <n v="25333000"/>
    <n v="9212000"/>
    <x v="331"/>
  </r>
  <r>
    <x v="4"/>
    <x v="2"/>
    <x v="387"/>
    <n v="3062400"/>
    <n v="2169200"/>
    <n v="893200"/>
    <x v="332"/>
  </r>
  <r>
    <x v="4"/>
    <x v="2"/>
    <x v="388"/>
    <n v="1570800"/>
    <n v="1112650"/>
    <n v="458150"/>
    <x v="160"/>
  </r>
  <r>
    <x v="3"/>
    <x v="2"/>
    <x v="389"/>
    <n v="2310000"/>
    <n v="1636250"/>
    <n v="673750"/>
    <x v="333"/>
  </r>
  <r>
    <x v="0"/>
    <x v="2"/>
    <x v="390"/>
    <n v="2175600"/>
    <n v="1541050"/>
    <n v="634550"/>
    <x v="138"/>
  </r>
  <r>
    <x v="1"/>
    <x v="6"/>
    <x v="217"/>
    <n v="2850000"/>
    <n v="2394000"/>
    <n v="456000"/>
    <x v="334"/>
  </r>
  <r>
    <x v="8"/>
    <x v="6"/>
    <x v="391"/>
    <n v="8755000"/>
    <n v="7354200"/>
    <n v="1400800"/>
    <x v="19"/>
  </r>
  <r>
    <x v="3"/>
    <x v="0"/>
    <x v="392"/>
    <n v="3198000"/>
    <n v="1918800"/>
    <n v="1279200"/>
    <x v="159"/>
  </r>
  <r>
    <x v="0"/>
    <x v="3"/>
    <x v="393"/>
    <n v="3387600"/>
    <n v="2258400"/>
    <n v="1129200"/>
    <x v="335"/>
  </r>
  <r>
    <x v="4"/>
    <x v="5"/>
    <x v="394"/>
    <n v="47835000"/>
    <n v="40394000"/>
    <n v="7441000"/>
    <x v="336"/>
  </r>
  <r>
    <x v="4"/>
    <x v="2"/>
    <x v="395"/>
    <n v="3117600"/>
    <n v="2208300"/>
    <n v="909300"/>
    <x v="337"/>
  </r>
  <r>
    <x v="6"/>
    <x v="0"/>
    <x v="396"/>
    <n v="498000"/>
    <n v="298800"/>
    <n v="199200"/>
    <x v="338"/>
  </r>
  <r>
    <x v="3"/>
    <x v="3"/>
    <x v="397"/>
    <n v="2979600"/>
    <n v="1986400"/>
    <n v="993200"/>
    <x v="58"/>
  </r>
  <r>
    <x v="1"/>
    <x v="5"/>
    <x v="398"/>
    <n v="63765000"/>
    <n v="53846000"/>
    <n v="9919000"/>
    <x v="339"/>
  </r>
  <r>
    <x v="7"/>
    <x v="1"/>
    <x v="399"/>
    <n v="2215500"/>
    <n v="1645800"/>
    <n v="569700"/>
    <x v="340"/>
  </r>
  <r>
    <x v="1"/>
    <x v="4"/>
    <x v="400"/>
    <n v="6660000"/>
    <n v="4884000"/>
    <n v="1776000"/>
    <x v="284"/>
  </r>
  <r>
    <x v="4"/>
    <x v="6"/>
    <x v="401"/>
    <n v="5685000"/>
    <n v="4775400"/>
    <n v="909600"/>
    <x v="341"/>
  </r>
  <r>
    <x v="4"/>
    <x v="1"/>
    <x v="402"/>
    <n v="9863000"/>
    <n v="7326800"/>
    <n v="2536200"/>
    <x v="232"/>
  </r>
  <r>
    <x v="5"/>
    <x v="5"/>
    <x v="403"/>
    <n v="5445000"/>
    <n v="4598000"/>
    <n v="847000"/>
    <x v="258"/>
  </r>
  <r>
    <x v="4"/>
    <x v="1"/>
    <x v="404"/>
    <n v="1130500"/>
    <n v="839800"/>
    <n v="290700"/>
    <x v="342"/>
  </r>
  <r>
    <x v="8"/>
    <x v="4"/>
    <x v="405"/>
    <n v="30945000"/>
    <n v="22693000"/>
    <n v="8252000"/>
    <x v="343"/>
  </r>
  <r>
    <x v="2"/>
    <x v="0"/>
    <x v="406"/>
    <n v="4179000"/>
    <n v="2507400"/>
    <n v="1671600"/>
    <x v="344"/>
  </r>
  <r>
    <x v="3"/>
    <x v="5"/>
    <x v="407"/>
    <n v="17415000"/>
    <n v="14706000"/>
    <n v="2709000"/>
    <x v="345"/>
  </r>
  <r>
    <x v="1"/>
    <x v="1"/>
    <x v="177"/>
    <n v="5036500"/>
    <n v="3741400"/>
    <n v="1295100"/>
    <x v="346"/>
  </r>
  <r>
    <x v="2"/>
    <x v="6"/>
    <x v="408"/>
    <n v="3280000"/>
    <n v="2755200"/>
    <n v="524800"/>
    <x v="347"/>
  </r>
  <r>
    <x v="0"/>
    <x v="6"/>
    <x v="409"/>
    <n v="1075000"/>
    <n v="903000"/>
    <n v="172000"/>
    <x v="348"/>
  </r>
  <r>
    <x v="7"/>
    <x v="3"/>
    <x v="410"/>
    <n v="1940400"/>
    <n v="1293600"/>
    <n v="646800"/>
    <x v="349"/>
  </r>
  <r>
    <x v="8"/>
    <x v="1"/>
    <x v="12"/>
    <n v="7378000"/>
    <n v="5480800"/>
    <n v="1897200"/>
    <x v="280"/>
  </r>
  <r>
    <x v="1"/>
    <x v="2"/>
    <x v="238"/>
    <n v="1648800"/>
    <n v="1167900"/>
    <n v="480900"/>
    <x v="350"/>
  </r>
  <r>
    <x v="2"/>
    <x v="1"/>
    <x v="411"/>
    <n v="2723000"/>
    <n v="2022800"/>
    <n v="700200"/>
    <x v="351"/>
  </r>
  <r>
    <x v="7"/>
    <x v="0"/>
    <x v="412"/>
    <n v="8694000"/>
    <n v="5216400"/>
    <n v="3477600"/>
    <x v="160"/>
  </r>
  <r>
    <x v="5"/>
    <x v="5"/>
    <x v="413"/>
    <n v="94185000"/>
    <n v="79534000"/>
    <n v="14651000"/>
    <x v="352"/>
  </r>
  <r>
    <x v="8"/>
    <x v="5"/>
    <x v="54"/>
    <n v="6795000"/>
    <n v="5738000"/>
    <n v="1057000"/>
    <x v="127"/>
  </r>
  <r>
    <x v="8"/>
    <x v="0"/>
    <x v="414"/>
    <n v="4395000"/>
    <n v="2637000"/>
    <n v="1758000"/>
    <x v="144"/>
  </r>
  <r>
    <x v="5"/>
    <x v="1"/>
    <x v="415"/>
    <n v="2898000"/>
    <n v="2152800"/>
    <n v="745200"/>
    <x v="222"/>
  </r>
  <r>
    <x v="3"/>
    <x v="0"/>
    <x v="416"/>
    <n v="789000"/>
    <n v="473400"/>
    <n v="315600"/>
    <x v="353"/>
  </r>
  <r>
    <x v="5"/>
    <x v="4"/>
    <x v="417"/>
    <n v="17415000"/>
    <n v="12771000"/>
    <n v="4644000"/>
    <x v="238"/>
  </r>
  <r>
    <x v="8"/>
    <x v="0"/>
    <x v="418"/>
    <n v="4878000"/>
    <n v="2926800"/>
    <n v="1951200"/>
    <x v="354"/>
  </r>
  <r>
    <x v="8"/>
    <x v="6"/>
    <x v="312"/>
    <n v="12490000"/>
    <n v="10491600"/>
    <n v="1998400"/>
    <x v="355"/>
  </r>
  <r>
    <x v="2"/>
    <x v="0"/>
    <x v="419"/>
    <n v="8055000"/>
    <n v="4833000"/>
    <n v="3222000"/>
    <x v="356"/>
  </r>
  <r>
    <x v="4"/>
    <x v="5"/>
    <x v="420"/>
    <n v="134370000"/>
    <n v="113468000"/>
    <n v="20902000"/>
    <x v="265"/>
  </r>
  <r>
    <x v="7"/>
    <x v="6"/>
    <x v="421"/>
    <n v="8725000"/>
    <n v="7329000"/>
    <n v="1396000"/>
    <x v="128"/>
  </r>
  <r>
    <x v="5"/>
    <x v="5"/>
    <x v="422"/>
    <n v="28845000"/>
    <n v="24358000"/>
    <n v="4487000"/>
    <x v="357"/>
  </r>
  <r>
    <x v="7"/>
    <x v="3"/>
    <x v="19"/>
    <n v="1659600"/>
    <n v="1106400"/>
    <n v="553200"/>
    <x v="358"/>
  </r>
  <r>
    <x v="5"/>
    <x v="2"/>
    <x v="423"/>
    <n v="1390800"/>
    <n v="985150"/>
    <n v="405650"/>
    <x v="359"/>
  </r>
  <r>
    <x v="0"/>
    <x v="5"/>
    <x v="251"/>
    <n v="98505000"/>
    <n v="83182000"/>
    <n v="15323000"/>
    <x v="138"/>
  </r>
  <r>
    <x v="8"/>
    <x v="6"/>
    <x v="424"/>
    <n v="13850000"/>
    <n v="11634000"/>
    <n v="2216000"/>
    <x v="360"/>
  </r>
  <r>
    <x v="4"/>
    <x v="3"/>
    <x v="425"/>
    <n v="915600"/>
    <n v="610400"/>
    <n v="305200"/>
    <x v="274"/>
  </r>
  <r>
    <x v="2"/>
    <x v="5"/>
    <x v="426"/>
    <n v="44325000"/>
    <n v="37430000"/>
    <n v="6895000"/>
    <x v="324"/>
  </r>
  <r>
    <x v="4"/>
    <x v="4"/>
    <x v="427"/>
    <n v="30015000"/>
    <n v="22011000"/>
    <n v="8004000"/>
    <x v="312"/>
  </r>
  <r>
    <x v="4"/>
    <x v="0"/>
    <x v="428"/>
    <n v="873000"/>
    <n v="523800"/>
    <n v="349200"/>
    <x v="361"/>
  </r>
  <r>
    <x v="4"/>
    <x v="2"/>
    <x v="413"/>
    <n v="2511600"/>
    <n v="1779050"/>
    <n v="732550"/>
    <x v="362"/>
  </r>
  <r>
    <x v="7"/>
    <x v="5"/>
    <x v="429"/>
    <n v="2295000"/>
    <n v="1938000"/>
    <n v="357000"/>
    <x v="363"/>
  </r>
  <r>
    <x v="5"/>
    <x v="3"/>
    <x v="430"/>
    <n v="2786400"/>
    <n v="1857600"/>
    <n v="928800"/>
    <x v="364"/>
  </r>
  <r>
    <x v="9"/>
    <x v="4"/>
    <x v="412"/>
    <n v="43470000"/>
    <n v="31878000"/>
    <n v="11592000"/>
    <x v="365"/>
  </r>
  <r>
    <x v="0"/>
    <x v="1"/>
    <x v="431"/>
    <n v="6363000"/>
    <n v="4726800"/>
    <n v="1636200"/>
    <x v="366"/>
  </r>
  <r>
    <x v="1"/>
    <x v="3"/>
    <x v="432"/>
    <n v="2398800"/>
    <n v="1599200"/>
    <n v="799600"/>
    <x v="367"/>
  </r>
  <r>
    <x v="4"/>
    <x v="0"/>
    <x v="433"/>
    <n v="8058000"/>
    <n v="4834800"/>
    <n v="3223200"/>
    <x v="183"/>
  </r>
  <r>
    <x v="3"/>
    <x v="3"/>
    <x v="434"/>
    <n v="2655600"/>
    <n v="1770400"/>
    <n v="885200"/>
    <x v="282"/>
  </r>
  <r>
    <x v="7"/>
    <x v="4"/>
    <x v="311"/>
    <n v="14505000"/>
    <n v="10637000"/>
    <n v="3868000"/>
    <x v="25"/>
  </r>
  <r>
    <x v="2"/>
    <x v="3"/>
    <x v="435"/>
    <n v="2749200"/>
    <n v="1832800"/>
    <n v="916400"/>
    <x v="368"/>
  </r>
  <r>
    <x v="1"/>
    <x v="4"/>
    <x v="436"/>
    <n v="44520000"/>
    <n v="32648000"/>
    <n v="11872000"/>
    <x v="369"/>
  </r>
  <r>
    <x v="9"/>
    <x v="5"/>
    <x v="437"/>
    <n v="6255000"/>
    <n v="5282000"/>
    <n v="973000"/>
    <x v="370"/>
  </r>
  <r>
    <x v="3"/>
    <x v="4"/>
    <x v="374"/>
    <n v="26385000"/>
    <n v="19349000"/>
    <n v="7036000"/>
    <x v="371"/>
  </r>
  <r>
    <x v="9"/>
    <x v="4"/>
    <x v="438"/>
    <n v="33285000"/>
    <n v="24409000"/>
    <n v="8876000"/>
    <x v="372"/>
  </r>
  <r>
    <x v="1"/>
    <x v="2"/>
    <x v="439"/>
    <n v="230400"/>
    <n v="163200"/>
    <n v="67200"/>
    <x v="373"/>
  </r>
  <r>
    <x v="4"/>
    <x v="4"/>
    <x v="440"/>
    <n v="2325000"/>
    <n v="1705000"/>
    <n v="620000"/>
    <x v="292"/>
  </r>
  <r>
    <x v="3"/>
    <x v="4"/>
    <x v="339"/>
    <n v="14040000"/>
    <n v="10296000"/>
    <n v="3744000"/>
    <x v="183"/>
  </r>
  <r>
    <x v="9"/>
    <x v="1"/>
    <x v="441"/>
    <n v="1669500"/>
    <n v="1240200"/>
    <n v="429300"/>
    <x v="202"/>
  </r>
  <r>
    <x v="2"/>
    <x v="5"/>
    <x v="442"/>
    <n v="62010000"/>
    <n v="52364000"/>
    <n v="9646000"/>
    <x v="374"/>
  </r>
  <r>
    <x v="5"/>
    <x v="0"/>
    <x v="443"/>
    <n v="5835000"/>
    <n v="3501000"/>
    <n v="2334000"/>
    <x v="375"/>
  </r>
  <r>
    <x v="8"/>
    <x v="2"/>
    <x v="444"/>
    <n v="2452800"/>
    <n v="1737400"/>
    <n v="715400"/>
    <x v="295"/>
  </r>
  <r>
    <x v="5"/>
    <x v="1"/>
    <x v="445"/>
    <n v="1281000"/>
    <n v="951600"/>
    <n v="329400"/>
    <x v="144"/>
  </r>
  <r>
    <x v="1"/>
    <x v="6"/>
    <x v="446"/>
    <n v="10180000"/>
    <n v="8551200"/>
    <n v="1628800"/>
    <x v="376"/>
  </r>
  <r>
    <x v="7"/>
    <x v="5"/>
    <x v="447"/>
    <n v="30780000"/>
    <n v="25992000"/>
    <n v="4788000"/>
    <x v="377"/>
  </r>
  <r>
    <x v="8"/>
    <x v="5"/>
    <x v="448"/>
    <n v="88875000"/>
    <n v="75050000"/>
    <n v="13825000"/>
    <x v="378"/>
  </r>
  <r>
    <x v="0"/>
    <x v="6"/>
    <x v="449"/>
    <n v="10530000"/>
    <n v="8845200"/>
    <n v="1684800"/>
    <x v="379"/>
  </r>
  <r>
    <x v="2"/>
    <x v="0"/>
    <x v="450"/>
    <n v="8613000"/>
    <n v="5167800"/>
    <n v="3445200"/>
    <x v="380"/>
  </r>
  <r>
    <x v="0"/>
    <x v="4"/>
    <x v="451"/>
    <n v="34800000"/>
    <n v="25520000"/>
    <n v="9280000"/>
    <x v="273"/>
  </r>
  <r>
    <x v="3"/>
    <x v="1"/>
    <x v="452"/>
    <n v="5211500"/>
    <n v="3871400"/>
    <n v="1340100"/>
    <x v="381"/>
  </r>
  <r>
    <x v="8"/>
    <x v="3"/>
    <x v="453"/>
    <n v="722400"/>
    <n v="481600"/>
    <n v="240800"/>
    <x v="382"/>
  </r>
  <r>
    <x v="0"/>
    <x v="2"/>
    <x v="322"/>
    <n v="918000"/>
    <n v="650250"/>
    <n v="267750"/>
    <x v="265"/>
  </r>
  <r>
    <x v="0"/>
    <x v="3"/>
    <x v="454"/>
    <n v="1604400"/>
    <n v="1069600"/>
    <n v="534800"/>
    <x v="383"/>
  </r>
  <r>
    <x v="9"/>
    <x v="6"/>
    <x v="455"/>
    <n v="8815000"/>
    <n v="7404600"/>
    <n v="1410400"/>
    <x v="384"/>
  </r>
  <r>
    <x v="5"/>
    <x v="5"/>
    <x v="456"/>
    <n v="86985000"/>
    <n v="73454000"/>
    <n v="13531000"/>
    <x v="385"/>
  </r>
  <r>
    <x v="9"/>
    <x v="0"/>
    <x v="457"/>
    <n v="3471000"/>
    <n v="2082600"/>
    <n v="1388400"/>
    <x v="386"/>
  </r>
  <r>
    <x v="8"/>
    <x v="5"/>
    <x v="63"/>
    <n v="62595000"/>
    <n v="52858000"/>
    <n v="9737000"/>
    <x v="180"/>
  </r>
  <r>
    <x v="8"/>
    <x v="2"/>
    <x v="458"/>
    <n v="192000"/>
    <n v="136000"/>
    <n v="56000"/>
    <x v="387"/>
  </r>
  <r>
    <x v="1"/>
    <x v="5"/>
    <x v="125"/>
    <n v="13500000"/>
    <n v="11400000"/>
    <n v="2100000"/>
    <x v="388"/>
  </r>
  <r>
    <x v="9"/>
    <x v="5"/>
    <x v="459"/>
    <n v="111600000"/>
    <n v="94240000"/>
    <n v="17360000"/>
    <x v="389"/>
  </r>
  <r>
    <x v="6"/>
    <x v="2"/>
    <x v="265"/>
    <n v="2524800"/>
    <n v="1788400"/>
    <n v="736400"/>
    <x v="390"/>
  </r>
  <r>
    <x v="5"/>
    <x v="1"/>
    <x v="460"/>
    <n v="1778000"/>
    <n v="1320800"/>
    <n v="457200"/>
    <x v="69"/>
  </r>
  <r>
    <x v="8"/>
    <x v="1"/>
    <x v="457"/>
    <n v="4049500"/>
    <n v="3008200"/>
    <n v="1041300"/>
    <x v="152"/>
  </r>
  <r>
    <x v="1"/>
    <x v="2"/>
    <x v="461"/>
    <n v="308400"/>
    <n v="218450"/>
    <n v="89950"/>
    <x v="391"/>
  </r>
  <r>
    <x v="9"/>
    <x v="0"/>
    <x v="462"/>
    <n v="2847000"/>
    <n v="1708200"/>
    <n v="1138800"/>
    <x v="392"/>
  </r>
  <r>
    <x v="5"/>
    <x v="6"/>
    <x v="315"/>
    <n v="355000"/>
    <n v="298200"/>
    <n v="56800"/>
    <x v="389"/>
  </r>
  <r>
    <x v="9"/>
    <x v="5"/>
    <x v="463"/>
    <n v="20655000"/>
    <n v="17442000"/>
    <n v="3213000"/>
    <x v="393"/>
  </r>
  <r>
    <x v="0"/>
    <x v="0"/>
    <x v="464"/>
    <n v="2832000"/>
    <n v="1699200"/>
    <n v="1132800"/>
    <x v="163"/>
  </r>
  <r>
    <x v="1"/>
    <x v="5"/>
    <x v="465"/>
    <n v="25380000"/>
    <n v="21432000"/>
    <n v="3948000"/>
    <x v="394"/>
  </r>
  <r>
    <x v="5"/>
    <x v="6"/>
    <x v="466"/>
    <n v="4290000"/>
    <n v="3603600"/>
    <n v="686400"/>
    <x v="29"/>
  </r>
  <r>
    <x v="4"/>
    <x v="1"/>
    <x v="467"/>
    <n v="3230500"/>
    <n v="2399800"/>
    <n v="830700"/>
    <x v="395"/>
  </r>
  <r>
    <x v="3"/>
    <x v="0"/>
    <x v="468"/>
    <n v="189000"/>
    <n v="113400"/>
    <n v="75600"/>
    <x v="268"/>
  </r>
  <r>
    <x v="3"/>
    <x v="4"/>
    <x v="469"/>
    <n v="15300000"/>
    <n v="11220000"/>
    <n v="4080000"/>
    <x v="396"/>
  </r>
  <r>
    <x v="5"/>
    <x v="4"/>
    <x v="470"/>
    <n v="32760000"/>
    <n v="24024000"/>
    <n v="8736000"/>
    <x v="397"/>
  </r>
  <r>
    <x v="9"/>
    <x v="4"/>
    <x v="220"/>
    <n v="24150000"/>
    <n v="17710000"/>
    <n v="6440000"/>
    <x v="47"/>
  </r>
  <r>
    <x v="1"/>
    <x v="1"/>
    <x v="238"/>
    <n v="4809000"/>
    <n v="3572400"/>
    <n v="1236600"/>
    <x v="398"/>
  </r>
  <r>
    <x v="3"/>
    <x v="1"/>
    <x v="471"/>
    <n v="4606000"/>
    <n v="3421600"/>
    <n v="1184400"/>
    <x v="399"/>
  </r>
  <r>
    <x v="1"/>
    <x v="6"/>
    <x v="438"/>
    <n v="11095000"/>
    <n v="9319800"/>
    <n v="1775200"/>
    <x v="400"/>
  </r>
  <r>
    <x v="3"/>
    <x v="5"/>
    <x v="472"/>
    <n v="35955000"/>
    <n v="30362000"/>
    <n v="5593000"/>
    <x v="389"/>
  </r>
  <r>
    <x v="0"/>
    <x v="6"/>
    <x v="473"/>
    <n v="3670000"/>
    <n v="3082800"/>
    <n v="587200"/>
    <x v="339"/>
  </r>
  <r>
    <x v="9"/>
    <x v="6"/>
    <x v="474"/>
    <n v="9885000"/>
    <n v="8303400"/>
    <n v="1581600"/>
    <x v="401"/>
  </r>
  <r>
    <x v="0"/>
    <x v="1"/>
    <x v="475"/>
    <n v="8421000"/>
    <n v="6255600"/>
    <n v="2165400"/>
    <x v="402"/>
  </r>
  <r>
    <x v="3"/>
    <x v="4"/>
    <x v="476"/>
    <n v="11160000"/>
    <n v="8184000"/>
    <n v="2976000"/>
    <x v="403"/>
  </r>
  <r>
    <x v="4"/>
    <x v="3"/>
    <x v="477"/>
    <n v="2862000"/>
    <n v="1908000"/>
    <n v="954000"/>
    <x v="70"/>
  </r>
  <r>
    <x v="4"/>
    <x v="5"/>
    <x v="478"/>
    <n v="16020000"/>
    <n v="13528000"/>
    <n v="2492000"/>
    <x v="391"/>
  </r>
  <r>
    <x v="0"/>
    <x v="1"/>
    <x v="479"/>
    <n v="7136500"/>
    <n v="5301400"/>
    <n v="1835100"/>
    <x v="404"/>
  </r>
  <r>
    <x v="4"/>
    <x v="4"/>
    <x v="480"/>
    <n v="10665000"/>
    <n v="7821000"/>
    <n v="2844000"/>
    <x v="381"/>
  </r>
  <r>
    <x v="3"/>
    <x v="0"/>
    <x v="481"/>
    <n v="1794000"/>
    <n v="1076400"/>
    <n v="717600"/>
    <x v="405"/>
  </r>
  <r>
    <x v="5"/>
    <x v="3"/>
    <x v="482"/>
    <n v="433200"/>
    <n v="288800"/>
    <n v="144400"/>
    <x v="406"/>
  </r>
  <r>
    <x v="0"/>
    <x v="3"/>
    <x v="483"/>
    <n v="3564000"/>
    <n v="2376000"/>
    <n v="1188000"/>
    <x v="393"/>
  </r>
  <r>
    <x v="7"/>
    <x v="1"/>
    <x v="484"/>
    <n v="3962000"/>
    <n v="2943200"/>
    <n v="1018800"/>
    <x v="407"/>
  </r>
  <r>
    <x v="9"/>
    <x v="2"/>
    <x v="485"/>
    <n v="2144400"/>
    <n v="1518950"/>
    <n v="625450"/>
    <x v="209"/>
  </r>
  <r>
    <x v="4"/>
    <x v="5"/>
    <x v="486"/>
    <n v="36180000"/>
    <n v="30552000"/>
    <n v="5628000"/>
    <x v="92"/>
  </r>
  <r>
    <x v="4"/>
    <x v="3"/>
    <x v="487"/>
    <n v="100800"/>
    <n v="67200"/>
    <n v="33600"/>
    <x v="408"/>
  </r>
  <r>
    <x v="8"/>
    <x v="1"/>
    <x v="488"/>
    <n v="1729000"/>
    <n v="1284400"/>
    <n v="444600"/>
    <x v="119"/>
  </r>
  <r>
    <x v="6"/>
    <x v="1"/>
    <x v="489"/>
    <n v="7665000"/>
    <n v="5694000"/>
    <n v="1971000"/>
    <x v="409"/>
  </r>
  <r>
    <x v="0"/>
    <x v="4"/>
    <x v="490"/>
    <n v="30480000"/>
    <n v="22352000"/>
    <n v="8128000"/>
    <x v="190"/>
  </r>
  <r>
    <x v="2"/>
    <x v="0"/>
    <x v="491"/>
    <n v="3840000"/>
    <n v="2304000"/>
    <n v="1536000"/>
    <x v="114"/>
  </r>
  <r>
    <x v="4"/>
    <x v="2"/>
    <x v="492"/>
    <n v="482400"/>
    <n v="341700"/>
    <n v="140700"/>
    <x v="410"/>
  </r>
  <r>
    <x v="9"/>
    <x v="5"/>
    <x v="493"/>
    <n v="42840000"/>
    <n v="36176000"/>
    <n v="6664000"/>
    <x v="411"/>
  </r>
  <r>
    <x v="7"/>
    <x v="6"/>
    <x v="215"/>
    <n v="7025000"/>
    <n v="5901000"/>
    <n v="1124000"/>
    <x v="412"/>
  </r>
  <r>
    <x v="4"/>
    <x v="0"/>
    <x v="494"/>
    <n v="8877000"/>
    <n v="5326200"/>
    <n v="3550800"/>
    <x v="413"/>
  </r>
  <r>
    <x v="7"/>
    <x v="0"/>
    <x v="495"/>
    <n v="5394000"/>
    <n v="3236400"/>
    <n v="2157600"/>
    <x v="25"/>
  </r>
  <r>
    <x v="3"/>
    <x v="4"/>
    <x v="496"/>
    <n v="3120000"/>
    <n v="2288000"/>
    <n v="832000"/>
    <x v="414"/>
  </r>
  <r>
    <x v="3"/>
    <x v="3"/>
    <x v="497"/>
    <n v="2432400"/>
    <n v="1621600"/>
    <n v="810800"/>
    <x v="415"/>
  </r>
  <r>
    <x v="6"/>
    <x v="3"/>
    <x v="498"/>
    <n v="1207200"/>
    <n v="804800"/>
    <n v="402400"/>
    <x v="284"/>
  </r>
  <r>
    <x v="5"/>
    <x v="4"/>
    <x v="499"/>
    <n v="31815000"/>
    <n v="23331000"/>
    <n v="8484000"/>
    <x v="346"/>
  </r>
  <r>
    <x v="2"/>
    <x v="1"/>
    <x v="500"/>
    <n v="1585500"/>
    <n v="1177800"/>
    <n v="407700"/>
    <x v="198"/>
  </r>
  <r>
    <x v="8"/>
    <x v="3"/>
    <x v="107"/>
    <n v="3482400"/>
    <n v="2321600"/>
    <n v="1160800"/>
    <x v="416"/>
  </r>
  <r>
    <x v="6"/>
    <x v="2"/>
    <x v="336"/>
    <n v="678000"/>
    <n v="480250"/>
    <n v="197750"/>
    <x v="417"/>
  </r>
  <r>
    <x v="1"/>
    <x v="5"/>
    <x v="501"/>
    <n v="127305000"/>
    <n v="107502000"/>
    <n v="19803000"/>
    <x v="418"/>
  </r>
  <r>
    <x v="8"/>
    <x v="0"/>
    <x v="502"/>
    <n v="4311000"/>
    <n v="2586600"/>
    <n v="1724400"/>
    <x v="417"/>
  </r>
  <r>
    <x v="0"/>
    <x v="0"/>
    <x v="503"/>
    <n v="7887000"/>
    <n v="4732200"/>
    <n v="3154800"/>
    <x v="23"/>
  </r>
  <r>
    <x v="9"/>
    <x v="2"/>
    <x v="504"/>
    <n v="1206000"/>
    <n v="854250"/>
    <n v="351750"/>
    <x v="419"/>
  </r>
  <r>
    <x v="1"/>
    <x v="3"/>
    <x v="505"/>
    <n v="2698800"/>
    <n v="1799200"/>
    <n v="899600"/>
    <x v="420"/>
  </r>
  <r>
    <x v="1"/>
    <x v="0"/>
    <x v="506"/>
    <n v="5286000"/>
    <n v="3171600"/>
    <n v="2114400"/>
    <x v="421"/>
  </r>
  <r>
    <x v="6"/>
    <x v="6"/>
    <x v="507"/>
    <n v="3285000"/>
    <n v="2759400"/>
    <n v="525600"/>
    <x v="422"/>
  </r>
  <r>
    <x v="5"/>
    <x v="5"/>
    <x v="508"/>
    <n v="113265000"/>
    <n v="95646000"/>
    <n v="17619000"/>
    <x v="423"/>
  </r>
  <r>
    <x v="6"/>
    <x v="5"/>
    <x v="509"/>
    <n v="59535000"/>
    <n v="50274000"/>
    <n v="9261000"/>
    <x v="424"/>
  </r>
  <r>
    <x v="0"/>
    <x v="0"/>
    <x v="55"/>
    <n v="8889000"/>
    <n v="5333400"/>
    <n v="3555600"/>
    <x v="71"/>
  </r>
  <r>
    <x v="4"/>
    <x v="4"/>
    <x v="510"/>
    <n v="23775000"/>
    <n v="17435000"/>
    <n v="6340000"/>
    <x v="425"/>
  </r>
  <r>
    <x v="4"/>
    <x v="0"/>
    <x v="511"/>
    <n v="8025000"/>
    <n v="4815000"/>
    <n v="3210000"/>
    <x v="258"/>
  </r>
  <r>
    <x v="5"/>
    <x v="4"/>
    <x v="300"/>
    <n v="36480000"/>
    <n v="26752000"/>
    <n v="9728000"/>
    <x v="426"/>
  </r>
  <r>
    <x v="0"/>
    <x v="0"/>
    <x v="512"/>
    <n v="4473000"/>
    <n v="2683800"/>
    <n v="1789200"/>
    <x v="427"/>
  </r>
  <r>
    <x v="5"/>
    <x v="6"/>
    <x v="513"/>
    <n v="9235000"/>
    <n v="7757400"/>
    <n v="1477600"/>
    <x v="384"/>
  </r>
  <r>
    <x v="7"/>
    <x v="1"/>
    <x v="281"/>
    <n v="1204000"/>
    <n v="894400"/>
    <n v="309600"/>
    <x v="428"/>
  </r>
  <r>
    <x v="4"/>
    <x v="5"/>
    <x v="486"/>
    <n v="36180000"/>
    <n v="30552000"/>
    <n v="5628000"/>
    <x v="381"/>
  </r>
  <r>
    <x v="1"/>
    <x v="0"/>
    <x v="7"/>
    <n v="4332000"/>
    <n v="2599200"/>
    <n v="1732800"/>
    <x v="319"/>
  </r>
  <r>
    <x v="2"/>
    <x v="6"/>
    <x v="514"/>
    <n v="1175000"/>
    <n v="987000"/>
    <n v="188000"/>
    <x v="113"/>
  </r>
  <r>
    <x v="9"/>
    <x v="4"/>
    <x v="515"/>
    <n v="19785000"/>
    <n v="14509000"/>
    <n v="5276000"/>
    <x v="429"/>
  </r>
  <r>
    <x v="0"/>
    <x v="4"/>
    <x v="516"/>
    <n v="10290000"/>
    <n v="7546000"/>
    <n v="2744000"/>
    <x v="237"/>
  </r>
  <r>
    <x v="8"/>
    <x v="5"/>
    <x v="75"/>
    <n v="60345000"/>
    <n v="50958000"/>
    <n v="9387000"/>
    <x v="430"/>
  </r>
  <r>
    <x v="5"/>
    <x v="2"/>
    <x v="517"/>
    <n v="694800"/>
    <n v="492150"/>
    <n v="202650"/>
    <x v="315"/>
  </r>
  <r>
    <x v="9"/>
    <x v="0"/>
    <x v="518"/>
    <n v="6354000"/>
    <n v="3812400"/>
    <n v="2541600"/>
    <x v="431"/>
  </r>
  <r>
    <x v="8"/>
    <x v="3"/>
    <x v="519"/>
    <n v="3556800"/>
    <n v="2371200"/>
    <n v="1185600"/>
    <x v="432"/>
  </r>
  <r>
    <x v="9"/>
    <x v="4"/>
    <x v="8"/>
    <n v="12645000"/>
    <n v="9273000"/>
    <n v="3372000"/>
    <x v="433"/>
  </r>
  <r>
    <x v="2"/>
    <x v="1"/>
    <x v="520"/>
    <n v="7689500"/>
    <n v="5712200"/>
    <n v="1977300"/>
    <x v="122"/>
  </r>
  <r>
    <x v="8"/>
    <x v="1"/>
    <x v="521"/>
    <n v="9971500"/>
    <n v="7407400"/>
    <n v="2564100"/>
    <x v="434"/>
  </r>
  <r>
    <x v="6"/>
    <x v="4"/>
    <x v="522"/>
    <n v="7905000"/>
    <n v="5797000"/>
    <n v="2108000"/>
    <x v="35"/>
  </r>
  <r>
    <x v="3"/>
    <x v="2"/>
    <x v="523"/>
    <n v="2006400"/>
    <n v="1421200"/>
    <n v="585200"/>
    <x v="16"/>
  </r>
  <r>
    <x v="6"/>
    <x v="2"/>
    <x v="524"/>
    <n v="1186800"/>
    <n v="840650"/>
    <n v="346150"/>
    <x v="435"/>
  </r>
  <r>
    <x v="4"/>
    <x v="6"/>
    <x v="525"/>
    <n v="2875000"/>
    <n v="2415000"/>
    <n v="460000"/>
    <x v="436"/>
  </r>
  <r>
    <x v="3"/>
    <x v="1"/>
    <x v="526"/>
    <n v="8508500"/>
    <n v="6320600"/>
    <n v="2187900"/>
    <x v="437"/>
  </r>
  <r>
    <x v="6"/>
    <x v="6"/>
    <x v="429"/>
    <n v="255000"/>
    <n v="214200"/>
    <n v="40800"/>
    <x v="438"/>
  </r>
  <r>
    <x v="3"/>
    <x v="1"/>
    <x v="527"/>
    <n v="1484000"/>
    <n v="1102400"/>
    <n v="381600"/>
    <x v="15"/>
  </r>
  <r>
    <x v="3"/>
    <x v="0"/>
    <x v="528"/>
    <n v="7170000"/>
    <n v="4302000"/>
    <n v="2868000"/>
    <x v="216"/>
  </r>
  <r>
    <x v="1"/>
    <x v="0"/>
    <x v="529"/>
    <n v="8802000"/>
    <n v="5281200"/>
    <n v="3520800"/>
    <x v="439"/>
  </r>
  <r>
    <x v="5"/>
    <x v="3"/>
    <x v="453"/>
    <n v="722400"/>
    <n v="481600"/>
    <n v="240800"/>
    <x v="440"/>
  </r>
  <r>
    <x v="5"/>
    <x v="0"/>
    <x v="530"/>
    <n v="7245000"/>
    <n v="4347000"/>
    <n v="2898000"/>
    <x v="441"/>
  </r>
  <r>
    <x v="1"/>
    <x v="3"/>
    <x v="531"/>
    <n v="1890000"/>
    <n v="1260000"/>
    <n v="630000"/>
    <x v="442"/>
  </r>
  <r>
    <x v="9"/>
    <x v="0"/>
    <x v="532"/>
    <n v="5703000"/>
    <n v="3421800"/>
    <n v="2281200"/>
    <x v="345"/>
  </r>
  <r>
    <x v="7"/>
    <x v="5"/>
    <x v="533"/>
    <n v="19350000"/>
    <n v="16340000"/>
    <n v="3010000"/>
    <x v="398"/>
  </r>
  <r>
    <x v="9"/>
    <x v="0"/>
    <x v="534"/>
    <n v="5088000"/>
    <n v="3052800"/>
    <n v="2035200"/>
    <x v="342"/>
  </r>
  <r>
    <x v="8"/>
    <x v="6"/>
    <x v="468"/>
    <n v="315000"/>
    <n v="264600"/>
    <n v="50400"/>
    <x v="443"/>
  </r>
  <r>
    <x v="8"/>
    <x v="4"/>
    <x v="535"/>
    <n v="8295000"/>
    <n v="6083000"/>
    <n v="2212000"/>
    <x v="31"/>
  </r>
  <r>
    <x v="3"/>
    <x v="6"/>
    <x v="536"/>
    <n v="11640000"/>
    <n v="9777600"/>
    <n v="1862400"/>
    <x v="444"/>
  </r>
  <r>
    <x v="6"/>
    <x v="4"/>
    <x v="537"/>
    <n v="30870000"/>
    <n v="22638000"/>
    <n v="8232000"/>
    <x v="445"/>
  </r>
  <r>
    <x v="6"/>
    <x v="2"/>
    <x v="2"/>
    <n v="214800"/>
    <n v="152150"/>
    <n v="62650"/>
    <x v="175"/>
  </r>
  <r>
    <x v="5"/>
    <x v="6"/>
    <x v="538"/>
    <n v="4435000"/>
    <n v="3725400"/>
    <n v="709600"/>
    <x v="344"/>
  </r>
  <r>
    <x v="0"/>
    <x v="2"/>
    <x v="539"/>
    <n v="3585600"/>
    <n v="2539800"/>
    <n v="1045800"/>
    <x v="446"/>
  </r>
  <r>
    <x v="9"/>
    <x v="3"/>
    <x v="540"/>
    <n v="2508000"/>
    <n v="1672000"/>
    <n v="836000"/>
    <x v="447"/>
  </r>
  <r>
    <x v="4"/>
    <x v="3"/>
    <x v="541"/>
    <n v="92400"/>
    <n v="61600"/>
    <n v="30800"/>
    <x v="448"/>
  </r>
  <r>
    <x v="2"/>
    <x v="5"/>
    <x v="542"/>
    <n v="97335000"/>
    <n v="82194000"/>
    <n v="15141000"/>
    <x v="449"/>
  </r>
  <r>
    <x v="6"/>
    <x v="0"/>
    <x v="50"/>
    <n v="3906000"/>
    <n v="2343600"/>
    <n v="1562400"/>
    <x v="450"/>
  </r>
  <r>
    <x v="2"/>
    <x v="6"/>
    <x v="543"/>
    <n v="1550000"/>
    <n v="1302000"/>
    <n v="248000"/>
    <x v="451"/>
  </r>
  <r>
    <x v="3"/>
    <x v="2"/>
    <x v="544"/>
    <n v="2515200"/>
    <n v="1781600"/>
    <n v="733600"/>
    <x v="452"/>
  </r>
  <r>
    <x v="2"/>
    <x v="4"/>
    <x v="545"/>
    <n v="22830000"/>
    <n v="16742000"/>
    <n v="6088000"/>
    <x v="453"/>
  </r>
  <r>
    <x v="4"/>
    <x v="3"/>
    <x v="546"/>
    <n v="1796400"/>
    <n v="1197600"/>
    <n v="598800"/>
    <x v="454"/>
  </r>
  <r>
    <x v="1"/>
    <x v="0"/>
    <x v="547"/>
    <n v="1527000"/>
    <n v="916200"/>
    <n v="610800"/>
    <x v="455"/>
  </r>
  <r>
    <x v="4"/>
    <x v="3"/>
    <x v="548"/>
    <n v="420000"/>
    <n v="280000"/>
    <n v="140000"/>
    <x v="456"/>
  </r>
  <r>
    <x v="2"/>
    <x v="4"/>
    <x v="549"/>
    <n v="35760000"/>
    <n v="26224000"/>
    <n v="9536000"/>
    <x v="457"/>
  </r>
  <r>
    <x v="4"/>
    <x v="0"/>
    <x v="550"/>
    <n v="2037000"/>
    <n v="1222200"/>
    <n v="814800"/>
    <x v="244"/>
  </r>
  <r>
    <x v="7"/>
    <x v="0"/>
    <x v="551"/>
    <n v="957000"/>
    <n v="574200"/>
    <n v="382800"/>
    <x v="152"/>
  </r>
  <r>
    <x v="3"/>
    <x v="2"/>
    <x v="552"/>
    <n v="3226800"/>
    <n v="2285650"/>
    <n v="941150"/>
    <x v="458"/>
  </r>
  <r>
    <x v="9"/>
    <x v="2"/>
    <x v="553"/>
    <n v="2451600"/>
    <n v="1736550"/>
    <n v="715050"/>
    <x v="236"/>
  </r>
  <r>
    <x v="1"/>
    <x v="6"/>
    <x v="554"/>
    <n v="8390000"/>
    <n v="7047600"/>
    <n v="1342400"/>
    <x v="60"/>
  </r>
  <r>
    <x v="6"/>
    <x v="6"/>
    <x v="555"/>
    <n v="9255000"/>
    <n v="7774200"/>
    <n v="1480800"/>
    <x v="459"/>
  </r>
  <r>
    <x v="8"/>
    <x v="1"/>
    <x v="556"/>
    <n v="10293500"/>
    <n v="7646600"/>
    <n v="2646900"/>
    <x v="460"/>
  </r>
  <r>
    <x v="9"/>
    <x v="1"/>
    <x v="557"/>
    <n v="3188500"/>
    <n v="2368600"/>
    <n v="819900"/>
    <x v="461"/>
  </r>
  <r>
    <x v="8"/>
    <x v="5"/>
    <x v="558"/>
    <n v="59850000"/>
    <n v="50540000"/>
    <n v="9310000"/>
    <x v="462"/>
  </r>
  <r>
    <x v="3"/>
    <x v="3"/>
    <x v="266"/>
    <n v="2676000"/>
    <n v="1784000"/>
    <n v="892000"/>
    <x v="463"/>
  </r>
  <r>
    <x v="1"/>
    <x v="6"/>
    <x v="66"/>
    <n v="9245000"/>
    <n v="7765800"/>
    <n v="1479200"/>
    <x v="385"/>
  </r>
  <r>
    <x v="5"/>
    <x v="2"/>
    <x v="559"/>
    <n v="2107200"/>
    <n v="1492600"/>
    <n v="614600"/>
    <x v="66"/>
  </r>
  <r>
    <x v="6"/>
    <x v="4"/>
    <x v="560"/>
    <n v="39150000"/>
    <n v="28710000"/>
    <n v="10440000"/>
    <x v="105"/>
  </r>
  <r>
    <x v="7"/>
    <x v="2"/>
    <x v="561"/>
    <n v="2892000"/>
    <n v="2048500"/>
    <n v="843500"/>
    <x v="38"/>
  </r>
  <r>
    <x v="5"/>
    <x v="3"/>
    <x v="562"/>
    <n v="750000"/>
    <n v="500000"/>
    <n v="250000"/>
    <x v="464"/>
  </r>
  <r>
    <x v="3"/>
    <x v="1"/>
    <x v="563"/>
    <n v="10440500"/>
    <n v="7755800"/>
    <n v="2684700"/>
    <x v="465"/>
  </r>
  <r>
    <x v="9"/>
    <x v="2"/>
    <x v="564"/>
    <n v="2463600"/>
    <n v="1745050"/>
    <n v="718550"/>
    <x v="466"/>
  </r>
  <r>
    <x v="7"/>
    <x v="5"/>
    <x v="565"/>
    <n v="61065000"/>
    <n v="51566000"/>
    <n v="9499000"/>
    <x v="95"/>
  </r>
  <r>
    <x v="4"/>
    <x v="3"/>
    <x v="566"/>
    <n v="2407200"/>
    <n v="1604800"/>
    <n v="802400"/>
    <x v="153"/>
  </r>
  <r>
    <x v="2"/>
    <x v="1"/>
    <x v="567"/>
    <n v="9744000"/>
    <n v="7238400"/>
    <n v="2505600"/>
    <x v="420"/>
  </r>
  <r>
    <x v="7"/>
    <x v="4"/>
    <x v="568"/>
    <n v="31050000"/>
    <n v="22770000"/>
    <n v="8280000"/>
    <x v="53"/>
  </r>
  <r>
    <x v="3"/>
    <x v="1"/>
    <x v="569"/>
    <n v="7917000"/>
    <n v="5881200"/>
    <n v="2035800"/>
    <x v="467"/>
  </r>
  <r>
    <x v="0"/>
    <x v="0"/>
    <x v="570"/>
    <n v="7206000"/>
    <n v="4323600"/>
    <n v="2882400"/>
    <x v="206"/>
  </r>
  <r>
    <x v="2"/>
    <x v="5"/>
    <x v="571"/>
    <n v="76725000"/>
    <n v="64790000"/>
    <n v="11935000"/>
    <x v="173"/>
  </r>
  <r>
    <x v="8"/>
    <x v="3"/>
    <x v="572"/>
    <n v="1954800"/>
    <n v="1303200"/>
    <n v="651600"/>
    <x v="468"/>
  </r>
  <r>
    <x v="6"/>
    <x v="4"/>
    <x v="573"/>
    <n v="28455000"/>
    <n v="20867000"/>
    <n v="7588000"/>
    <x v="265"/>
  </r>
  <r>
    <x v="8"/>
    <x v="5"/>
    <x v="574"/>
    <n v="101385000"/>
    <n v="85614000"/>
    <n v="15771000"/>
    <x v="69"/>
  </r>
  <r>
    <x v="7"/>
    <x v="1"/>
    <x v="575"/>
    <n v="5040000"/>
    <n v="3744000"/>
    <n v="1296000"/>
    <x v="469"/>
  </r>
  <r>
    <x v="8"/>
    <x v="5"/>
    <x v="576"/>
    <n v="80640000"/>
    <n v="68096000"/>
    <n v="12544000"/>
    <x v="470"/>
  </r>
  <r>
    <x v="3"/>
    <x v="3"/>
    <x v="448"/>
    <n v="2370000"/>
    <n v="1580000"/>
    <n v="790000"/>
    <x v="471"/>
  </r>
  <r>
    <x v="4"/>
    <x v="6"/>
    <x v="577"/>
    <n v="3345000"/>
    <n v="2809800"/>
    <n v="535200"/>
    <x v="472"/>
  </r>
  <r>
    <x v="9"/>
    <x v="5"/>
    <x v="227"/>
    <n v="59580000"/>
    <n v="50312000"/>
    <n v="9268000"/>
    <x v="473"/>
  </r>
  <r>
    <x v="6"/>
    <x v="0"/>
    <x v="498"/>
    <n v="3018000"/>
    <n v="1810800"/>
    <n v="1207200"/>
    <x v="59"/>
  </r>
  <r>
    <x v="8"/>
    <x v="5"/>
    <x v="578"/>
    <n v="89505000"/>
    <n v="75582000"/>
    <n v="13923000"/>
    <x v="474"/>
  </r>
  <r>
    <x v="8"/>
    <x v="1"/>
    <x v="526"/>
    <n v="8508500"/>
    <n v="6320600"/>
    <n v="2187900"/>
    <x v="475"/>
  </r>
  <r>
    <x v="7"/>
    <x v="1"/>
    <x v="579"/>
    <n v="3563000"/>
    <n v="2646800"/>
    <n v="916200"/>
    <x v="476"/>
  </r>
  <r>
    <x v="9"/>
    <x v="4"/>
    <x v="580"/>
    <n v="39120000"/>
    <n v="28688000"/>
    <n v="10432000"/>
    <x v="477"/>
  </r>
  <r>
    <x v="5"/>
    <x v="1"/>
    <x v="581"/>
    <n v="4781000"/>
    <n v="3551600"/>
    <n v="1229400"/>
    <x v="422"/>
  </r>
  <r>
    <x v="8"/>
    <x v="2"/>
    <x v="190"/>
    <n v="1311600"/>
    <n v="929050"/>
    <n v="382550"/>
    <x v="478"/>
  </r>
  <r>
    <x v="3"/>
    <x v="3"/>
    <x v="582"/>
    <n v="397200"/>
    <n v="264800"/>
    <n v="132400"/>
    <x v="45"/>
  </r>
  <r>
    <x v="0"/>
    <x v="3"/>
    <x v="340"/>
    <n v="3472800"/>
    <n v="2315200"/>
    <n v="1157600"/>
    <x v="465"/>
  </r>
  <r>
    <x v="6"/>
    <x v="6"/>
    <x v="583"/>
    <n v="11080000"/>
    <n v="9307200"/>
    <n v="1772800"/>
    <x v="479"/>
  </r>
  <r>
    <x v="8"/>
    <x v="6"/>
    <x v="584"/>
    <n v="5540000"/>
    <n v="4653600"/>
    <n v="886400"/>
    <x v="399"/>
  </r>
  <r>
    <x v="3"/>
    <x v="3"/>
    <x v="585"/>
    <n v="296400"/>
    <n v="197600"/>
    <n v="98800"/>
    <x v="378"/>
  </r>
  <r>
    <x v="3"/>
    <x v="0"/>
    <x v="586"/>
    <n v="7746000"/>
    <n v="4647600"/>
    <n v="3098400"/>
    <x v="45"/>
  </r>
  <r>
    <x v="6"/>
    <x v="6"/>
    <x v="484"/>
    <n v="5660000"/>
    <n v="4754400"/>
    <n v="905600"/>
    <x v="480"/>
  </r>
  <r>
    <x v="5"/>
    <x v="4"/>
    <x v="529"/>
    <n v="44010000"/>
    <n v="32274000"/>
    <n v="11736000"/>
    <x v="481"/>
  </r>
  <r>
    <x v="3"/>
    <x v="1"/>
    <x v="587"/>
    <n v="4319000"/>
    <n v="3208400"/>
    <n v="1110600"/>
    <x v="140"/>
  </r>
  <r>
    <x v="0"/>
    <x v="3"/>
    <x v="588"/>
    <n v="1269600"/>
    <n v="846400"/>
    <n v="423200"/>
    <x v="6"/>
  </r>
  <r>
    <x v="3"/>
    <x v="6"/>
    <x v="589"/>
    <n v="13940000"/>
    <n v="11709600"/>
    <n v="2230400"/>
    <x v="482"/>
  </r>
  <r>
    <x v="3"/>
    <x v="3"/>
    <x v="590"/>
    <n v="1534800"/>
    <n v="1023200"/>
    <n v="511600"/>
    <x v="483"/>
  </r>
  <r>
    <x v="3"/>
    <x v="2"/>
    <x v="591"/>
    <n v="1302000"/>
    <n v="922250"/>
    <n v="379750"/>
    <x v="484"/>
  </r>
  <r>
    <x v="4"/>
    <x v="5"/>
    <x v="592"/>
    <n v="24255000"/>
    <n v="20482000"/>
    <n v="3773000"/>
    <x v="485"/>
  </r>
  <r>
    <x v="4"/>
    <x v="1"/>
    <x v="593"/>
    <n v="1137500"/>
    <n v="845000"/>
    <n v="292500"/>
    <x v="155"/>
  </r>
  <r>
    <x v="5"/>
    <x v="3"/>
    <x v="594"/>
    <n v="3348000"/>
    <n v="2232000"/>
    <n v="1116000"/>
    <x v="486"/>
  </r>
  <r>
    <x v="8"/>
    <x v="5"/>
    <x v="595"/>
    <n v="105255000"/>
    <n v="88882000"/>
    <n v="16373000"/>
    <x v="487"/>
  </r>
  <r>
    <x v="3"/>
    <x v="6"/>
    <x v="596"/>
    <n v="6445000"/>
    <n v="5413800"/>
    <n v="1031200"/>
    <x v="488"/>
  </r>
  <r>
    <x v="9"/>
    <x v="5"/>
    <x v="227"/>
    <n v="59580000"/>
    <n v="50312000"/>
    <n v="9268000"/>
    <x v="310"/>
  </r>
  <r>
    <x v="8"/>
    <x v="1"/>
    <x v="597"/>
    <n v="612500"/>
    <n v="455000"/>
    <n v="157500"/>
    <x v="489"/>
  </r>
  <r>
    <x v="5"/>
    <x v="3"/>
    <x v="598"/>
    <n v="319200"/>
    <n v="212800"/>
    <n v="106400"/>
    <x v="490"/>
  </r>
  <r>
    <x v="1"/>
    <x v="2"/>
    <x v="599"/>
    <n v="1509600"/>
    <n v="1069300"/>
    <n v="440300"/>
    <x v="491"/>
  </r>
  <r>
    <x v="8"/>
    <x v="0"/>
    <x v="600"/>
    <n v="3888000"/>
    <n v="2332800"/>
    <n v="1555200"/>
    <x v="492"/>
  </r>
  <r>
    <x v="8"/>
    <x v="6"/>
    <x v="601"/>
    <n v="12960000"/>
    <n v="10886400"/>
    <n v="2073600"/>
    <x v="493"/>
  </r>
  <r>
    <x v="2"/>
    <x v="3"/>
    <x v="602"/>
    <n v="3028800"/>
    <n v="2019200"/>
    <n v="1009600"/>
    <x v="494"/>
  </r>
  <r>
    <x v="7"/>
    <x v="1"/>
    <x v="603"/>
    <n v="3388000"/>
    <n v="2516800"/>
    <n v="871200"/>
    <x v="5"/>
  </r>
  <r>
    <x v="2"/>
    <x v="6"/>
    <x v="604"/>
    <n v="6835000"/>
    <n v="5741400"/>
    <n v="1093600"/>
    <x v="274"/>
  </r>
  <r>
    <x v="0"/>
    <x v="4"/>
    <x v="605"/>
    <n v="33720000"/>
    <n v="24728000"/>
    <n v="8992000"/>
    <x v="301"/>
  </r>
  <r>
    <x v="4"/>
    <x v="5"/>
    <x v="606"/>
    <n v="111645000"/>
    <n v="94278000"/>
    <n v="17367000"/>
    <x v="495"/>
  </r>
  <r>
    <x v="4"/>
    <x v="0"/>
    <x v="607"/>
    <n v="5133000"/>
    <n v="3079800"/>
    <n v="2053200"/>
    <x v="496"/>
  </r>
  <r>
    <x v="7"/>
    <x v="1"/>
    <x v="608"/>
    <n v="1249500"/>
    <n v="928200"/>
    <n v="321300"/>
    <x v="497"/>
  </r>
  <r>
    <x v="6"/>
    <x v="4"/>
    <x v="609"/>
    <n v="21135000"/>
    <n v="15499000"/>
    <n v="5636000"/>
    <x v="27"/>
  </r>
  <r>
    <x v="6"/>
    <x v="3"/>
    <x v="610"/>
    <n v="2422800"/>
    <n v="1615200"/>
    <n v="807600"/>
    <x v="498"/>
  </r>
  <r>
    <x v="5"/>
    <x v="2"/>
    <x v="611"/>
    <n v="3411600"/>
    <n v="2416550"/>
    <n v="995050"/>
    <x v="165"/>
  </r>
  <r>
    <x v="7"/>
    <x v="6"/>
    <x v="612"/>
    <n v="4705000"/>
    <n v="3952200"/>
    <n v="752800"/>
    <x v="102"/>
  </r>
  <r>
    <x v="8"/>
    <x v="5"/>
    <x v="527"/>
    <n v="19080000"/>
    <n v="16112000"/>
    <n v="2968000"/>
    <x v="499"/>
  </r>
  <r>
    <x v="6"/>
    <x v="6"/>
    <x v="150"/>
    <n v="10415000"/>
    <n v="8748600"/>
    <n v="1666400"/>
    <x v="234"/>
  </r>
  <r>
    <x v="3"/>
    <x v="0"/>
    <x v="613"/>
    <n v="4242000"/>
    <n v="2545200"/>
    <n v="1696800"/>
    <x v="500"/>
  </r>
  <r>
    <x v="9"/>
    <x v="3"/>
    <x v="614"/>
    <n v="213600"/>
    <n v="142400"/>
    <n v="71200"/>
    <x v="363"/>
  </r>
  <r>
    <x v="8"/>
    <x v="6"/>
    <x v="615"/>
    <n v="5320000"/>
    <n v="4468800"/>
    <n v="851200"/>
    <x v="501"/>
  </r>
  <r>
    <x v="0"/>
    <x v="5"/>
    <x v="66"/>
    <n v="83205000"/>
    <n v="70262000"/>
    <n v="12943000"/>
    <x v="394"/>
  </r>
  <r>
    <x v="3"/>
    <x v="3"/>
    <x v="616"/>
    <n v="3319200"/>
    <n v="2212800"/>
    <n v="1106400"/>
    <x v="502"/>
  </r>
  <r>
    <x v="3"/>
    <x v="6"/>
    <x v="617"/>
    <n v="7155000"/>
    <n v="6010200"/>
    <n v="1144800"/>
    <x v="503"/>
  </r>
  <r>
    <x v="7"/>
    <x v="2"/>
    <x v="618"/>
    <n v="679200"/>
    <n v="481100"/>
    <n v="198100"/>
    <x v="504"/>
  </r>
  <r>
    <x v="5"/>
    <x v="1"/>
    <x v="619"/>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2D2DD-7408-48A7-9081-F3C4075A645C}" name="PivotTable10"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29:B35" firstHeaderRow="1" firstDataRow="1" firstDataCol="1"/>
  <pivotFields count="9">
    <pivotField showAll="0">
      <items count="11">
        <item x="0"/>
        <item x="3"/>
        <item x="7"/>
        <item x="5"/>
        <item x="8"/>
        <item x="4"/>
        <item x="6"/>
        <item x="1"/>
        <item x="9"/>
        <item x="2"/>
        <item t="default"/>
      </items>
    </pivotField>
    <pivotField axis="axisRow" showAll="0" sortType="descending">
      <items count="8">
        <item h="1" x="2"/>
        <item x="6"/>
        <item x="1"/>
        <item h="1"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6"/>
    </i>
    <i>
      <x v="5"/>
    </i>
    <i>
      <x v="4"/>
    </i>
    <i>
      <x v="2"/>
    </i>
    <i>
      <x v="1"/>
    </i>
    <i t="grand">
      <x/>
    </i>
  </rowItems>
  <colItems count="1">
    <i/>
  </colItems>
  <dataFields count="1">
    <dataField name="Sum of Profit" fld="5" baseField="0" baseItem="0" numFmtId="169"/>
  </dataFields>
  <formats count="1">
    <format dxfId="9">
      <pivotArea outline="0" collapsedLevelsAreSubtotals="1" fieldPosition="0"/>
    </format>
  </formats>
  <chartFormats count="7">
    <chartFormat chart="10" format="2"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6"/>
          </reference>
        </references>
      </pivotArea>
    </chartFormat>
    <chartFormat chart="14" format="9">
      <pivotArea type="data" outline="0" fieldPosition="0">
        <references count="2">
          <reference field="4294967294" count="1" selected="0">
            <x v="0"/>
          </reference>
          <reference field="1" count="1" selected="0">
            <x v="5"/>
          </reference>
        </references>
      </pivotArea>
    </chartFormat>
    <chartFormat chart="14" format="10">
      <pivotArea type="data" outline="0" fieldPosition="0">
        <references count="2">
          <reference field="4294967294" count="1" selected="0">
            <x v="0"/>
          </reference>
          <reference field="1" count="1" selected="0">
            <x v="4"/>
          </reference>
        </references>
      </pivotArea>
    </chartFormat>
    <chartFormat chart="14" format="11">
      <pivotArea type="data" outline="0" fieldPosition="0">
        <references count="2">
          <reference field="4294967294" count="1" selected="0">
            <x v="0"/>
          </reference>
          <reference field="1" count="1" selected="0">
            <x v="2"/>
          </reference>
        </references>
      </pivotArea>
    </chartFormat>
    <chartFormat chart="14"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D8F5D-CA65-4C66-A8B4-9042B1C67A12}"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location ref="J3:L16" firstHeaderRow="0" firstDataRow="1" firstDataCol="1"/>
  <pivotFields count="9">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1">
    <format dxfId="3">
      <pivotArea outline="0" collapsedLevelsAreSubtotals="1" fieldPosition="0"/>
    </format>
  </formats>
  <chartFormats count="2">
    <chartFormat chart="41" format="8" series="1">
      <pivotArea type="data" outline="0" fieldPosition="0">
        <references count="1">
          <reference field="4294967294" count="1" selected="0">
            <x v="0"/>
          </reference>
        </references>
      </pivotArea>
    </chartFormat>
    <chartFormat chart="4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0B9EF3-1703-4FE1-8BDA-7BF0E039BA73}"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22:L34" firstHeaderRow="1" firstDataRow="2" firstDataCol="1"/>
  <pivotFields count="9">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dataFields>
  <formats count="1">
    <format dxfId="4">
      <pivotArea outline="0" collapsedLevelsAreSubtotals="1" fieldPosition="0"/>
    </format>
  </formats>
  <chartFormats count="7">
    <chartFormat chart="10" format="14" series="1">
      <pivotArea type="data" outline="0" fieldPosition="0">
        <references count="2">
          <reference field="4294967294" count="1" selected="0">
            <x v="0"/>
          </reference>
          <reference field="1" count="1" selected="0">
            <x v="0"/>
          </reference>
        </references>
      </pivotArea>
    </chartFormat>
    <chartFormat chart="10" format="15" series="1">
      <pivotArea type="data" outline="0" fieldPosition="0">
        <references count="2">
          <reference field="4294967294" count="1" selected="0">
            <x v="0"/>
          </reference>
          <reference field="1" count="1" selected="0">
            <x v="1"/>
          </reference>
        </references>
      </pivotArea>
    </chartFormat>
    <chartFormat chart="10" format="16" series="1">
      <pivotArea type="data" outline="0" fieldPosition="0">
        <references count="2">
          <reference field="4294967294" count="1" selected="0">
            <x v="0"/>
          </reference>
          <reference field="1" count="1" selected="0">
            <x v="2"/>
          </reference>
        </references>
      </pivotArea>
    </chartFormat>
    <chartFormat chart="10" format="17" series="1">
      <pivotArea type="data" outline="0" fieldPosition="0">
        <references count="2">
          <reference field="4294967294" count="1" selected="0">
            <x v="0"/>
          </reference>
          <reference field="1" count="1" selected="0">
            <x v="3"/>
          </reference>
        </references>
      </pivotArea>
    </chartFormat>
    <chartFormat chart="10" format="18" series="1">
      <pivotArea type="data" outline="0" fieldPosition="0">
        <references count="2">
          <reference field="4294967294" count="1" selected="0">
            <x v="0"/>
          </reference>
          <reference field="1" count="1" selected="0">
            <x v="4"/>
          </reference>
        </references>
      </pivotArea>
    </chartFormat>
    <chartFormat chart="10" format="19" series="1">
      <pivotArea type="data" outline="0" fieldPosition="0">
        <references count="2">
          <reference field="4294967294" count="1" selected="0">
            <x v="0"/>
          </reference>
          <reference field="1" count="1" selected="0">
            <x v="5"/>
          </reference>
        </references>
      </pivotArea>
    </chartFormat>
    <chartFormat chart="10"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11E10C-FD77-45CC-9C14-DE85A78CDC37}"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14" firstHeaderRow="1" firstDataRow="1" firstDataCol="1"/>
  <pivotFields count="9">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B60631-B0B3-46E1-A41A-F4BFFF4E402E}"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15:E19" firstHeaderRow="1" firstDataRow="1" firstDataCol="1"/>
  <pivotFields count="9">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8"/>
    <field x="7"/>
    <field x="6"/>
  </rowFields>
  <rowItems count="4">
    <i>
      <x v="1"/>
    </i>
    <i>
      <x v="2"/>
    </i>
    <i>
      <x v="3"/>
    </i>
    <i t="grand">
      <x/>
    </i>
  </rowItems>
  <colItems count="1">
    <i/>
  </colItems>
  <dataFields count="1">
    <dataField name="Sum of Revenue" fld="3" baseField="0" baseItem="0" numFmtId="169"/>
  </dataFields>
  <formats count="1">
    <format dxfId="6">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52F47E-D9F3-489E-B6CD-84177178F85F}"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D3:E11" firstHeaderRow="1" firstDataRow="1" firstDataCol="1"/>
  <pivotFields count="9">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dataField="1"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dataFields>
  <formats count="1">
    <format dxfId="7">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A6C29D-B7A1-4562-AEA1-E0A2B047B457}"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5:B26" firstHeaderRow="1" firstDataRow="1" firstDataCol="1"/>
  <pivotFields count="9">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dataFields>
  <formats count="3">
    <format dxfId="10">
      <pivotArea outline="0" collapsedLevelsAreSubtotals="1" fieldPosition="0"/>
    </format>
    <format dxfId="11">
      <pivotArea collapsedLevelsAreSubtotals="1" fieldPosition="0">
        <references count="1">
          <reference field="0" count="0"/>
        </references>
      </pivotArea>
    </format>
    <format dxfId="12">
      <pivotArea grandRow="1"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F56E9B-6EB2-4943-9588-5351872A264A}"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1" firstHeaderRow="1" firstDataRow="1" firstDataCol="1"/>
  <pivotFields count="9">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numFmtId="164"/>
  </dataFields>
  <formats count="1">
    <format dxfId="8">
      <pivotArea outline="0" collapsedLevelsAreSubtotals="1" fieldPosition="0"/>
    </format>
  </formats>
  <chartFormats count="1">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46FF32B-3276-4AF0-B97C-38AE0591EB8E}" sourceName="Country">
  <pivotTables>
    <pivotTable tabId="4" name="PivotTable3"/>
    <pivotTable tabId="4" name="PivotTable10"/>
    <pivotTable tabId="4" name="PivotTable2"/>
    <pivotTable tabId="4" name="PivotTable4"/>
    <pivotTable tabId="4" name="PivotTable5"/>
    <pivotTable tabId="4" name="PivotTable6"/>
    <pivotTable tabId="4" name="PivotTable7"/>
    <pivotTable tabId="4" name="PivotTable9"/>
  </pivotTables>
  <data>
    <tabular pivotCacheId="251112913">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1D4FEAD-88C4-409A-9CA1-79BE4C7F3CDD}" sourceName="Years">
  <pivotTables>
    <pivotTable tabId="4" name="PivotTable3"/>
  </pivotTables>
  <data>
    <tabular pivotCacheId="25111291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A1C43F5-BD81-4D8B-9C20-4E32FF2D0B51}" cache="Slicer_Country" caption="Country" showCaption="0" style="Slicer Style 1" rowHeight="241300"/>
  <slicer name="Years" xr10:uid="{316A291A-B4DD-46B5-8F78-2E61187A5BDC}" cache="Slicer_Years" caption="Years"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81E87-D12F-4023-8E2A-52C32B8ABC47}" name="Table1" displayName="Table1" ref="A1:G701" totalsRowShown="0">
  <autoFilter ref="A1:G701" xr:uid="{1B581E87-D12F-4023-8E2A-52C32B8ABC47}"/>
  <tableColumns count="7">
    <tableColumn id="1" xr3:uid="{DCB69473-EC0F-47EB-AC6A-44A89BFEA84D}" name="Country"/>
    <tableColumn id="2" xr3:uid="{FD37CF68-3702-4B6B-BAAD-4066C3607D21}" name="Product"/>
    <tableColumn id="3" xr3:uid="{DB900B48-150B-470F-A3F8-56EBEB64BA1E}" name="Units Sold"/>
    <tableColumn id="4" xr3:uid="{A3E6AB12-2E66-4E08-B040-CA823CF9B351}" name="Revenue"/>
    <tableColumn id="5" xr3:uid="{5CBE0D62-6BBC-4C67-984E-F434B8EE8C94}" name="Cost"/>
    <tableColumn id="6" xr3:uid="{5C000D08-9A35-474D-83E1-416F55149739}" name="Profit"/>
    <tableColumn id="7" xr3:uid="{EBA44ADD-6811-4C32-92D0-51BD8888984F}" name="Date" dataDxfId="18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F093-063B-46A1-895B-1BA947EA19BE}">
  <sheetPr>
    <tabColor theme="6"/>
  </sheetPr>
  <dimension ref="A2:L41"/>
  <sheetViews>
    <sheetView topLeftCell="A10" workbookViewId="0">
      <selection activeCell="Y1" sqref="Y1"/>
    </sheetView>
  </sheetViews>
  <sheetFormatPr defaultRowHeight="14.25" x14ac:dyDescent="0.2"/>
  <cols>
    <col min="1" max="1" width="11.75" bestFit="1" customWidth="1"/>
    <col min="2" max="2" width="15.375" bestFit="1" customWidth="1"/>
    <col min="3" max="3" width="18" bestFit="1" customWidth="1"/>
    <col min="4" max="4" width="13.75" bestFit="1" customWidth="1"/>
    <col min="5" max="5" width="16.5" bestFit="1" customWidth="1"/>
    <col min="6" max="7" width="15.375" bestFit="1" customWidth="1"/>
    <col min="8" max="8" width="18" bestFit="1" customWidth="1"/>
    <col min="9" max="9" width="16.5" bestFit="1" customWidth="1"/>
    <col min="10" max="10" width="11.75" bestFit="1" customWidth="1"/>
    <col min="11" max="11" width="18" bestFit="1" customWidth="1"/>
    <col min="12" max="12" width="14.875" bestFit="1" customWidth="1"/>
    <col min="13" max="13" width="15.375" bestFit="1" customWidth="1"/>
    <col min="14" max="14" width="18" bestFit="1" customWidth="1"/>
    <col min="15" max="15" width="16.5" bestFit="1" customWidth="1"/>
    <col min="16" max="17" width="16.875" bestFit="1" customWidth="1"/>
    <col min="18" max="18" width="18" bestFit="1" customWidth="1"/>
  </cols>
  <sheetData>
    <row r="2" spans="1:12" ht="20.25" x14ac:dyDescent="0.3">
      <c r="A2" s="8" t="s">
        <v>28</v>
      </c>
      <c r="B2" s="9"/>
      <c r="D2" s="8" t="s">
        <v>32</v>
      </c>
      <c r="E2" s="9"/>
      <c r="G2" s="8" t="s">
        <v>49</v>
      </c>
      <c r="H2" s="9"/>
      <c r="J2" s="8" t="s">
        <v>51</v>
      </c>
      <c r="K2" s="8"/>
      <c r="L2" s="8"/>
    </row>
    <row r="3" spans="1:12" x14ac:dyDescent="0.2">
      <c r="A3" s="4" t="s">
        <v>26</v>
      </c>
      <c r="B3" t="s">
        <v>27</v>
      </c>
      <c r="D3" s="4" t="s">
        <v>26</v>
      </c>
      <c r="E3" t="s">
        <v>31</v>
      </c>
      <c r="G3" s="4" t="s">
        <v>26</v>
      </c>
      <c r="H3" t="s">
        <v>27</v>
      </c>
      <c r="J3" s="4" t="s">
        <v>26</v>
      </c>
      <c r="K3" t="s">
        <v>29</v>
      </c>
      <c r="L3" t="s">
        <v>31</v>
      </c>
    </row>
    <row r="4" spans="1:12" x14ac:dyDescent="0.2">
      <c r="A4" s="5" t="s">
        <v>12</v>
      </c>
      <c r="B4" s="7">
        <v>45387650</v>
      </c>
      <c r="D4" s="5" t="s">
        <v>12</v>
      </c>
      <c r="E4" s="6">
        <v>129679</v>
      </c>
      <c r="G4" s="5" t="s">
        <v>7</v>
      </c>
      <c r="H4" s="14">
        <v>237371300</v>
      </c>
      <c r="J4" s="10" t="s">
        <v>34</v>
      </c>
      <c r="K4" s="7">
        <v>818865100</v>
      </c>
      <c r="L4" s="7">
        <v>75352</v>
      </c>
    </row>
    <row r="5" spans="1:12" x14ac:dyDescent="0.2">
      <c r="A5" s="5" t="s">
        <v>23</v>
      </c>
      <c r="B5" s="7">
        <v>111873600</v>
      </c>
      <c r="D5" s="5" t="s">
        <v>23</v>
      </c>
      <c r="E5" s="6">
        <v>139842</v>
      </c>
      <c r="G5" s="5" t="s">
        <v>13</v>
      </c>
      <c r="H5" s="14">
        <v>181420300</v>
      </c>
      <c r="J5" s="10" t="s">
        <v>35</v>
      </c>
      <c r="K5" s="7">
        <v>1102362600</v>
      </c>
      <c r="L5" s="7">
        <v>109118</v>
      </c>
    </row>
    <row r="6" spans="1:12" x14ac:dyDescent="0.2">
      <c r="A6" s="5" t="s">
        <v>10</v>
      </c>
      <c r="B6" s="7">
        <v>140713200</v>
      </c>
      <c r="D6" s="5" t="s">
        <v>10</v>
      </c>
      <c r="E6" s="6">
        <v>156348</v>
      </c>
      <c r="G6" s="5" t="s">
        <v>20</v>
      </c>
      <c r="H6" s="14">
        <v>194985300</v>
      </c>
      <c r="J6" s="10" t="s">
        <v>36</v>
      </c>
      <c r="K6" s="7">
        <v>701796300</v>
      </c>
      <c r="L6" s="7">
        <v>66544</v>
      </c>
    </row>
    <row r="7" spans="1:12" x14ac:dyDescent="0.2">
      <c r="A7" s="5" t="s">
        <v>14</v>
      </c>
      <c r="B7" s="7">
        <v>62143600</v>
      </c>
      <c r="D7" s="5" t="s">
        <v>14</v>
      </c>
      <c r="E7" s="6">
        <v>155359</v>
      </c>
      <c r="G7" s="5" t="s">
        <v>16</v>
      </c>
      <c r="H7" s="14">
        <v>229987650</v>
      </c>
      <c r="J7" s="10" t="s">
        <v>37</v>
      </c>
      <c r="K7" s="7">
        <v>783042700</v>
      </c>
      <c r="L7" s="7">
        <v>81532</v>
      </c>
    </row>
    <row r="8" spans="1:12" x14ac:dyDescent="0.2">
      <c r="A8" s="5" t="s">
        <v>8</v>
      </c>
      <c r="B8" s="7">
        <v>178723200</v>
      </c>
      <c r="D8" s="5" t="s">
        <v>8</v>
      </c>
      <c r="E8" s="6">
        <v>148936</v>
      </c>
      <c r="G8" s="5" t="s">
        <v>21</v>
      </c>
      <c r="H8" s="14">
        <v>302613800</v>
      </c>
      <c r="J8" s="10" t="s">
        <v>38</v>
      </c>
      <c r="K8" s="7">
        <v>870795900</v>
      </c>
      <c r="L8" s="7">
        <v>103127</v>
      </c>
    </row>
    <row r="9" spans="1:12" x14ac:dyDescent="0.2">
      <c r="A9" s="5" t="s">
        <v>17</v>
      </c>
      <c r="B9" s="7">
        <v>604692000</v>
      </c>
      <c r="D9" s="5" t="s">
        <v>17</v>
      </c>
      <c r="E9" s="6">
        <v>151173</v>
      </c>
      <c r="G9" s="5" t="s">
        <v>15</v>
      </c>
      <c r="H9" s="14">
        <v>225940050</v>
      </c>
      <c r="J9" s="10" t="s">
        <v>39</v>
      </c>
      <c r="K9" s="7">
        <v>678606700</v>
      </c>
      <c r="L9" s="7">
        <v>82278</v>
      </c>
    </row>
    <row r="10" spans="1:12" x14ac:dyDescent="0.2">
      <c r="A10" s="5" t="s">
        <v>19</v>
      </c>
      <c r="B10" s="7">
        <v>955836000</v>
      </c>
      <c r="D10" s="5" t="s">
        <v>19</v>
      </c>
      <c r="E10" s="6">
        <v>136548</v>
      </c>
      <c r="G10" s="5" t="s">
        <v>18</v>
      </c>
      <c r="H10" s="14">
        <v>147821550</v>
      </c>
      <c r="J10" s="10" t="s">
        <v>40</v>
      </c>
      <c r="K10" s="7">
        <v>913035400</v>
      </c>
      <c r="L10" s="7">
        <v>77982</v>
      </c>
    </row>
    <row r="11" spans="1:12" x14ac:dyDescent="0.2">
      <c r="A11" s="5" t="s">
        <v>25</v>
      </c>
      <c r="B11" s="7">
        <v>2099369250</v>
      </c>
      <c r="D11" s="5" t="s">
        <v>25</v>
      </c>
      <c r="E11" s="6">
        <v>1017885</v>
      </c>
      <c r="G11" s="5" t="s">
        <v>9</v>
      </c>
      <c r="H11" s="14">
        <v>164997350</v>
      </c>
      <c r="J11" s="10" t="s">
        <v>41</v>
      </c>
      <c r="K11" s="7">
        <v>1251126800</v>
      </c>
      <c r="L11" s="7">
        <v>102733</v>
      </c>
    </row>
    <row r="12" spans="1:12" x14ac:dyDescent="0.2">
      <c r="E12" s="6"/>
      <c r="G12" s="5" t="s">
        <v>22</v>
      </c>
      <c r="H12" s="14">
        <v>237119250</v>
      </c>
      <c r="J12" s="10" t="s">
        <v>42</v>
      </c>
      <c r="K12" s="7">
        <v>1060185700</v>
      </c>
      <c r="L12" s="7">
        <v>89257</v>
      </c>
    </row>
    <row r="13" spans="1:12" x14ac:dyDescent="0.2">
      <c r="G13" s="5" t="s">
        <v>11</v>
      </c>
      <c r="H13" s="14">
        <v>177112700</v>
      </c>
      <c r="J13" s="10" t="s">
        <v>43</v>
      </c>
      <c r="K13" s="7">
        <v>867619100</v>
      </c>
      <c r="L13" s="7">
        <v>87213</v>
      </c>
    </row>
    <row r="14" spans="1:12" ht="20.25" x14ac:dyDescent="0.3">
      <c r="A14" s="8" t="s">
        <v>30</v>
      </c>
      <c r="B14" s="9"/>
      <c r="D14" s="8" t="s">
        <v>48</v>
      </c>
      <c r="E14" s="9"/>
      <c r="G14" s="5" t="s">
        <v>25</v>
      </c>
      <c r="H14" s="14">
        <v>2099369250</v>
      </c>
      <c r="J14" s="10" t="s">
        <v>44</v>
      </c>
      <c r="K14" s="7">
        <v>723897600</v>
      </c>
      <c r="L14" s="7">
        <v>60503</v>
      </c>
    </row>
    <row r="15" spans="1:12" x14ac:dyDescent="0.2">
      <c r="A15" s="4" t="s">
        <v>26</v>
      </c>
      <c r="B15" t="s">
        <v>29</v>
      </c>
      <c r="D15" s="4" t="s">
        <v>26</v>
      </c>
      <c r="E15" t="s">
        <v>29</v>
      </c>
      <c r="J15" s="10" t="s">
        <v>45</v>
      </c>
      <c r="K15" s="7">
        <v>676202700</v>
      </c>
      <c r="L15" s="7">
        <v>82246</v>
      </c>
    </row>
    <row r="16" spans="1:12" x14ac:dyDescent="0.2">
      <c r="A16" s="5" t="s">
        <v>7</v>
      </c>
      <c r="B16" s="14">
        <v>1162177600</v>
      </c>
      <c r="D16" s="5" t="s">
        <v>33</v>
      </c>
      <c r="E16" s="14">
        <v>3129927800</v>
      </c>
      <c r="J16" s="10" t="s">
        <v>25</v>
      </c>
      <c r="K16" s="7">
        <v>10447536600</v>
      </c>
      <c r="L16" s="7">
        <v>1017885</v>
      </c>
    </row>
    <row r="17" spans="1:12" x14ac:dyDescent="0.2">
      <c r="A17" s="5" t="s">
        <v>13</v>
      </c>
      <c r="B17" s="14">
        <v>871416700</v>
      </c>
      <c r="D17" s="5" t="s">
        <v>46</v>
      </c>
      <c r="E17" s="14">
        <v>3847142200</v>
      </c>
    </row>
    <row r="18" spans="1:12" x14ac:dyDescent="0.2">
      <c r="A18" s="5" t="s">
        <v>20</v>
      </c>
      <c r="B18" s="14">
        <v>970455400</v>
      </c>
      <c r="D18" s="5" t="s">
        <v>47</v>
      </c>
      <c r="E18" s="14">
        <v>3470466600</v>
      </c>
    </row>
    <row r="19" spans="1:12" x14ac:dyDescent="0.2">
      <c r="A19" s="5" t="s">
        <v>16</v>
      </c>
      <c r="B19" s="14">
        <v>1144351400</v>
      </c>
      <c r="D19" s="5" t="s">
        <v>25</v>
      </c>
      <c r="E19" s="14">
        <v>10447536600</v>
      </c>
    </row>
    <row r="20" spans="1:12" x14ac:dyDescent="0.2">
      <c r="A20" s="5" t="s">
        <v>21</v>
      </c>
      <c r="B20" s="14">
        <v>1622388900</v>
      </c>
    </row>
    <row r="21" spans="1:12" ht="20.25" x14ac:dyDescent="0.3">
      <c r="A21" s="5" t="s">
        <v>15</v>
      </c>
      <c r="B21" s="14">
        <v>1090844300</v>
      </c>
      <c r="D21" s="8" t="s">
        <v>50</v>
      </c>
      <c r="E21" s="8"/>
      <c r="F21" s="8"/>
      <c r="G21" s="8"/>
      <c r="H21" s="8"/>
      <c r="I21" s="8"/>
      <c r="J21" s="8"/>
      <c r="K21" s="8"/>
      <c r="L21" s="8"/>
    </row>
    <row r="22" spans="1:12" x14ac:dyDescent="0.2">
      <c r="A22" s="5" t="s">
        <v>18</v>
      </c>
      <c r="B22" s="14">
        <v>666608300</v>
      </c>
      <c r="D22" s="4" t="s">
        <v>29</v>
      </c>
      <c r="E22" s="4" t="s">
        <v>24</v>
      </c>
    </row>
    <row r="23" spans="1:12" x14ac:dyDescent="0.2">
      <c r="A23" s="5" t="s">
        <v>9</v>
      </c>
      <c r="B23" s="14">
        <v>779041300</v>
      </c>
      <c r="D23" s="4" t="s">
        <v>26</v>
      </c>
      <c r="E23" t="s">
        <v>12</v>
      </c>
      <c r="F23" t="s">
        <v>23</v>
      </c>
      <c r="G23" t="s">
        <v>10</v>
      </c>
      <c r="H23" t="s">
        <v>14</v>
      </c>
      <c r="I23" t="s">
        <v>8</v>
      </c>
      <c r="J23" t="s">
        <v>17</v>
      </c>
      <c r="K23" t="s">
        <v>19</v>
      </c>
      <c r="L23" t="s">
        <v>25</v>
      </c>
    </row>
    <row r="24" spans="1:12" x14ac:dyDescent="0.2">
      <c r="A24" s="5" t="s">
        <v>22</v>
      </c>
      <c r="B24" s="14">
        <v>1254735500</v>
      </c>
      <c r="D24" s="5" t="s">
        <v>7</v>
      </c>
      <c r="E24" s="7">
        <v>13351200</v>
      </c>
      <c r="F24" s="7">
        <v>60560000</v>
      </c>
      <c r="G24" s="7">
        <v>50246000</v>
      </c>
      <c r="H24" s="7">
        <v>28514400</v>
      </c>
      <c r="I24" s="7">
        <v>62856000</v>
      </c>
      <c r="J24" s="7">
        <v>260670000</v>
      </c>
      <c r="K24" s="7">
        <v>685980000</v>
      </c>
      <c r="L24" s="7">
        <v>1162177600</v>
      </c>
    </row>
    <row r="25" spans="1:12" x14ac:dyDescent="0.2">
      <c r="A25" s="5" t="s">
        <v>11</v>
      </c>
      <c r="B25" s="14">
        <v>885517200</v>
      </c>
      <c r="D25" s="5" t="s">
        <v>13</v>
      </c>
      <c r="E25" s="7">
        <v>24312000</v>
      </c>
      <c r="F25" s="7">
        <v>71865000</v>
      </c>
      <c r="G25" s="7">
        <v>71354500</v>
      </c>
      <c r="H25" s="7">
        <v>28027200</v>
      </c>
      <c r="I25" s="7">
        <v>47823000</v>
      </c>
      <c r="J25" s="7">
        <v>164850000</v>
      </c>
      <c r="K25" s="7">
        <v>463185000</v>
      </c>
      <c r="L25" s="7">
        <v>871416700</v>
      </c>
    </row>
    <row r="26" spans="1:12" x14ac:dyDescent="0.2">
      <c r="A26" s="5" t="s">
        <v>25</v>
      </c>
      <c r="B26" s="14">
        <v>10447536600</v>
      </c>
      <c r="D26" s="5" t="s">
        <v>20</v>
      </c>
      <c r="E26" s="7">
        <v>12295200</v>
      </c>
      <c r="F26" s="7">
        <v>68155000</v>
      </c>
      <c r="G26" s="7">
        <v>45192000</v>
      </c>
      <c r="H26" s="7">
        <v>11035200</v>
      </c>
      <c r="I26" s="7">
        <v>16908000</v>
      </c>
      <c r="J26" s="7">
        <v>282270000</v>
      </c>
      <c r="K26" s="7">
        <v>534600000</v>
      </c>
      <c r="L26" s="7">
        <v>970455400</v>
      </c>
    </row>
    <row r="27" spans="1:12" x14ac:dyDescent="0.2">
      <c r="D27" s="5" t="s">
        <v>16</v>
      </c>
      <c r="E27" s="7">
        <v>21872400</v>
      </c>
      <c r="F27" s="7">
        <v>53935000</v>
      </c>
      <c r="G27" s="7">
        <v>67459000</v>
      </c>
      <c r="H27" s="7">
        <v>27420000</v>
      </c>
      <c r="I27" s="7">
        <v>29760000</v>
      </c>
      <c r="J27" s="7">
        <v>267825000</v>
      </c>
      <c r="K27" s="7">
        <v>676080000</v>
      </c>
      <c r="L27" s="7">
        <v>1144351400</v>
      </c>
    </row>
    <row r="28" spans="1:12" ht="20.25" x14ac:dyDescent="0.3">
      <c r="A28" s="8" t="s">
        <v>52</v>
      </c>
      <c r="B28" s="9"/>
      <c r="D28" s="5" t="s">
        <v>21</v>
      </c>
      <c r="E28" s="7">
        <v>14263200</v>
      </c>
      <c r="F28" s="7">
        <v>109030000</v>
      </c>
      <c r="G28" s="7">
        <v>73671500</v>
      </c>
      <c r="H28" s="7">
        <v>15583200</v>
      </c>
      <c r="I28" s="7">
        <v>56796000</v>
      </c>
      <c r="J28" s="7">
        <v>213105000</v>
      </c>
      <c r="K28" s="7">
        <v>1139940000</v>
      </c>
      <c r="L28" s="7">
        <v>1622388900</v>
      </c>
    </row>
    <row r="29" spans="1:12" x14ac:dyDescent="0.2">
      <c r="A29" s="4" t="s">
        <v>26</v>
      </c>
      <c r="B29" t="s">
        <v>27</v>
      </c>
      <c r="D29" s="5" t="s">
        <v>15</v>
      </c>
      <c r="E29" s="7">
        <v>14569200</v>
      </c>
      <c r="F29" s="7">
        <v>77640000</v>
      </c>
      <c r="G29" s="7">
        <v>36669500</v>
      </c>
      <c r="H29" s="7">
        <v>22833600</v>
      </c>
      <c r="I29" s="7">
        <v>62157000</v>
      </c>
      <c r="J29" s="7">
        <v>278520000</v>
      </c>
      <c r="K29" s="7">
        <v>598455000</v>
      </c>
      <c r="L29" s="7">
        <v>1090844300</v>
      </c>
    </row>
    <row r="30" spans="1:12" x14ac:dyDescent="0.2">
      <c r="A30" s="5" t="s">
        <v>19</v>
      </c>
      <c r="B30" s="14">
        <v>955836000</v>
      </c>
      <c r="D30" s="5" t="s">
        <v>18</v>
      </c>
      <c r="E30" s="7">
        <v>8384400</v>
      </c>
      <c r="F30" s="7">
        <v>85450000</v>
      </c>
      <c r="G30" s="7">
        <v>49766500</v>
      </c>
      <c r="H30" s="7">
        <v>13814400</v>
      </c>
      <c r="I30" s="7">
        <v>44643000</v>
      </c>
      <c r="J30" s="7">
        <v>217635000</v>
      </c>
      <c r="K30" s="7">
        <v>246915000</v>
      </c>
      <c r="L30" s="7">
        <v>666608300</v>
      </c>
    </row>
    <row r="31" spans="1:12" x14ac:dyDescent="0.2">
      <c r="A31" s="5" t="s">
        <v>17</v>
      </c>
      <c r="B31" s="14">
        <v>604692000</v>
      </c>
      <c r="D31" s="5" t="s">
        <v>9</v>
      </c>
      <c r="E31" s="7">
        <v>15474000</v>
      </c>
      <c r="F31" s="7">
        <v>69645000</v>
      </c>
      <c r="G31" s="7">
        <v>43991500</v>
      </c>
      <c r="H31" s="7">
        <v>10402800</v>
      </c>
      <c r="I31" s="7">
        <v>48453000</v>
      </c>
      <c r="J31" s="7">
        <v>209115000</v>
      </c>
      <c r="K31" s="7">
        <v>381960000</v>
      </c>
      <c r="L31" s="7">
        <v>779041300</v>
      </c>
    </row>
    <row r="32" spans="1:12" x14ac:dyDescent="0.2">
      <c r="A32" s="5" t="s">
        <v>8</v>
      </c>
      <c r="B32" s="14">
        <v>178723200</v>
      </c>
      <c r="D32" s="5" t="s">
        <v>22</v>
      </c>
      <c r="E32" s="7">
        <v>19258800</v>
      </c>
      <c r="F32" s="7">
        <v>59685000</v>
      </c>
      <c r="G32" s="7">
        <v>29214500</v>
      </c>
      <c r="H32" s="7">
        <v>18895200</v>
      </c>
      <c r="I32" s="7">
        <v>33462000</v>
      </c>
      <c r="J32" s="7">
        <v>220905000</v>
      </c>
      <c r="K32" s="7">
        <v>873315000</v>
      </c>
      <c r="L32" s="7">
        <v>1254735500</v>
      </c>
    </row>
    <row r="33" spans="1:12" x14ac:dyDescent="0.2">
      <c r="A33" s="5" t="s">
        <v>10</v>
      </c>
      <c r="B33" s="14">
        <v>140713200</v>
      </c>
      <c r="D33" s="5" t="s">
        <v>11</v>
      </c>
      <c r="E33" s="7">
        <v>11834400</v>
      </c>
      <c r="F33" s="7">
        <v>43245000</v>
      </c>
      <c r="G33" s="7">
        <v>79653000</v>
      </c>
      <c r="H33" s="7">
        <v>9904800</v>
      </c>
      <c r="I33" s="7">
        <v>43950000</v>
      </c>
      <c r="J33" s="7">
        <v>152700000</v>
      </c>
      <c r="K33" s="7">
        <v>544230000</v>
      </c>
      <c r="L33" s="7">
        <v>885517200</v>
      </c>
    </row>
    <row r="34" spans="1:12" x14ac:dyDescent="0.2">
      <c r="A34" s="5" t="s">
        <v>23</v>
      </c>
      <c r="B34" s="14">
        <v>111873600</v>
      </c>
      <c r="D34" s="5" t="s">
        <v>25</v>
      </c>
      <c r="E34" s="7">
        <v>155614800</v>
      </c>
      <c r="F34" s="7">
        <v>699210000</v>
      </c>
      <c r="G34" s="7">
        <v>547218000</v>
      </c>
      <c r="H34" s="7">
        <v>186430800</v>
      </c>
      <c r="I34" s="7">
        <v>446808000</v>
      </c>
      <c r="J34" s="7">
        <v>2267595000</v>
      </c>
      <c r="K34" s="7">
        <v>6144660000</v>
      </c>
      <c r="L34" s="7">
        <v>10447536600</v>
      </c>
    </row>
    <row r="35" spans="1:12" x14ac:dyDescent="0.2">
      <c r="A35" s="5" t="s">
        <v>25</v>
      </c>
      <c r="B35" s="14">
        <v>1991838000</v>
      </c>
    </row>
    <row r="38" spans="1:12" x14ac:dyDescent="0.2">
      <c r="F38" s="11" t="s">
        <v>53</v>
      </c>
      <c r="G38" s="13">
        <f>GETPIVOTDATA("Revenue",$A$15)</f>
        <v>10447536600</v>
      </c>
    </row>
    <row r="39" spans="1:12" x14ac:dyDescent="0.2">
      <c r="F39" s="11" t="s">
        <v>54</v>
      </c>
      <c r="G39" s="13">
        <f>GETPIVOTDATA("Profit",$A$29)</f>
        <v>1991838000</v>
      </c>
    </row>
    <row r="40" spans="1:12" x14ac:dyDescent="0.2">
      <c r="F40" s="11" t="s">
        <v>55</v>
      </c>
      <c r="G40" s="11">
        <f>GETPIVOTDATA("Units Sold",$D$3)</f>
        <v>1017885</v>
      </c>
    </row>
    <row r="41" spans="1:12" x14ac:dyDescent="0.2">
      <c r="F41" s="11" t="s">
        <v>56</v>
      </c>
      <c r="G41" s="11">
        <f>G38/G39</f>
        <v>5.2451738545002158</v>
      </c>
    </row>
  </sheetData>
  <mergeCells count="8">
    <mergeCell ref="A28:B28"/>
    <mergeCell ref="J2:L2"/>
    <mergeCell ref="A2:B2"/>
    <mergeCell ref="A14:B14"/>
    <mergeCell ref="D2:E2"/>
    <mergeCell ref="D14:E14"/>
    <mergeCell ref="G2:H2"/>
    <mergeCell ref="D21:L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4C03-D4C5-4C33-A1DC-C4488907D6BB}">
  <sheetPr>
    <tabColor theme="2" tint="-0.499984740745262"/>
  </sheetPr>
  <dimension ref="A1"/>
  <sheetViews>
    <sheetView topLeftCell="A7" workbookViewId="0">
      <selection activeCell="H7" sqref="H6:H7"/>
    </sheetView>
  </sheetViews>
  <sheetFormatPr defaultRowHeight="14.2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48C5-23AE-4CC1-BD23-3B6169830374}">
  <sheetPr>
    <tabColor rgb="FF7030A0"/>
  </sheetPr>
  <dimension ref="A1"/>
  <sheetViews>
    <sheetView tabSelected="1" zoomScaleNormal="100" workbookViewId="0">
      <selection activeCell="Y1" sqref="Y1"/>
    </sheetView>
  </sheetViews>
  <sheetFormatPr defaultRowHeight="14.25" x14ac:dyDescent="0.2"/>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G701"/>
  <sheetViews>
    <sheetView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EB43-D7FD-4864-BAC7-0F0D471101C0}">
  <sheetPr>
    <tabColor rgb="FF0070C0"/>
  </sheetPr>
  <dimension ref="A1"/>
  <sheetViews>
    <sheetView workbookViewId="0">
      <selection activeCell="E37" sqref="E37"/>
    </sheetView>
  </sheetViews>
  <sheetFormatPr defaultRowHeight="14.2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G526"/>
  <sheetViews>
    <sheetView zoomScale="172" workbookViewId="0">
      <selection activeCell="B22" sqref="B22"/>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Chart</vt:lpstr>
      <vt:lpstr>DashBoard</vt:lpstr>
      <vt:lpstr>Data</vt:lpstr>
      <vt:lpstr>Note</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LUTH</cp:lastModifiedBy>
  <dcterms:created xsi:type="dcterms:W3CDTF">2026-01-17T08:53:53Z</dcterms:created>
  <dcterms:modified xsi:type="dcterms:W3CDTF">2026-10-02T09:02:22Z</dcterms:modified>
</cp:coreProperties>
</file>